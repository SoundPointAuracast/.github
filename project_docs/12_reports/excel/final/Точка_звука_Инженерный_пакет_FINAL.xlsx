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Дашборд" sheetId="1" state="visible" r:id="rId1"/>
    <sheet xmlns:r="http://schemas.openxmlformats.org/officeDocument/2006/relationships" name="01_Аналоги" sheetId="2" state="visible" r:id="rId2"/>
    <sheet xmlns:r="http://schemas.openxmlformats.org/officeDocument/2006/relationships" name="02_BOM" sheetId="3" state="visible" r:id="rId3"/>
    <sheet xmlns:r="http://schemas.openxmlformats.org/officeDocument/2006/relationships" name="03_Закупка" sheetId="4" state="visible" r:id="rId4"/>
    <sheet xmlns:r="http://schemas.openxmlformats.org/officeDocument/2006/relationships" name="04_Эксперименты" sheetId="5" state="visible" r:id="rId5"/>
    <sheet xmlns:r="http://schemas.openxmlformats.org/officeDocument/2006/relationships" name="05_E05_ASR" sheetId="6" state="visible" r:id="rId6"/>
    <sheet xmlns:r="http://schemas.openxmlformats.org/officeDocument/2006/relationships" name="06_Риски" sheetId="7" state="visible" r:id="rId7"/>
    <sheet xmlns:r="http://schemas.openxmlformats.org/officeDocument/2006/relationships" name="07_Roadmap" sheetId="8" state="visible" r:id="rId8"/>
    <sheet xmlns:r="http://schemas.openxmlformats.org/officeDocument/2006/relationships" name="08_Источники" sheetId="9" state="visible" r:id="rId9"/>
    <sheet xmlns:r="http://schemas.openxmlformats.org/officeDocument/2006/relationships" name="09_Решения" sheetId="10" state="visible" r:id="rId10"/>
    <sheet xmlns:r="http://schemas.openxmlformats.org/officeDocument/2006/relationships" name="10_Справочники" sheetId="11" state="visible" r:id="rId11"/>
  </sheets>
  <definedNames>
    <definedName name="_xlnm.Print_Area" localSheetId="0">'00_Дашборд'!$B$1:$E$30</definedName>
    <definedName name="_xlnm._FilterDatabase" localSheetId="1" hidden="1">'01_Аналоги'!$A$1:$AJ$11</definedName>
    <definedName name="_xlnm._FilterDatabase" localSheetId="2" hidden="1">'02_BOM'!$A$1:$S$20</definedName>
    <definedName name="_xlnm._FilterDatabase" localSheetId="3" hidden="1">'03_Закупка'!$A$1:$L$11</definedName>
    <definedName name="_xlnm._FilterDatabase" localSheetId="4" hidden="1">'04_Эксперименты'!$A$1:$U$6</definedName>
    <definedName name="_xlnm._FilterDatabase" localSheetId="5" hidden="1">'05_E05_ASR'!$A$1:$V$11</definedName>
    <definedName name="_xlnm._FilterDatabase" localSheetId="6" hidden="1">'06_Риски'!$A$1:$L$13</definedName>
    <definedName name="_xlnm._FilterDatabase" localSheetId="7" hidden="1">'07_Roadmap'!$A$1:$I$17</definedName>
    <definedName name="_xlnm._FilterDatabase" localSheetId="8" hidden="1">'08_Источники'!$A$1:$N$17</definedName>
    <definedName name="_xlnm._FilterDatabase" localSheetId="9" hidden="1">'09_Решения'!$A$1:$I$11</definedName>
    <definedName name="_xlnm._FilterDatabase" localSheetId="10" hidden="1">'10_Справочники'!$A$1:$B$11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6233A"/>
      <sz val="11"/>
    </font>
    <font>
      <name val="Calibri"/>
      <color rgb="0016233A"/>
      <sz val="12"/>
    </font>
    <font>
      <name val="Calibri"/>
      <b val="1"/>
      <color rgb="0012305C"/>
      <sz val="13"/>
    </font>
    <font>
      <name val="Calibri"/>
      <b val="1"/>
      <color rgb="001F6FD0"/>
      <sz val="14"/>
    </font>
    <font>
      <name val="Calibri"/>
      <b val="1"/>
      <color rgb="00FFFFFF"/>
      <sz val="11"/>
    </font>
    <font>
      <name val="Calibri"/>
      <sz val="10"/>
    </font>
    <font>
      <b val="1"/>
      <color rgb="0012305C"/>
    </font>
    <font>
      <i val="1"/>
      <color rgb="005B6B83"/>
      <sz val="9"/>
    </font>
    <font>
      <b val="1"/>
      <color rgb="0012305C"/>
      <sz val="12"/>
    </font>
    <font>
      <name val="Calibri"/>
      <b val="1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2305C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4" fontId="7" fillId="0" borderId="1" applyAlignment="1" pivotButton="0" quotePrefix="0" xfId="0">
      <alignment vertical="top" wrapText="1"/>
    </xf>
    <xf numFmtId="0" fontId="8" fillId="0" borderId="0" pivotButton="0" quotePrefix="0" xfId="0"/>
    <xf numFmtId="4" fontId="0" fillId="0" borderId="0" pivotButton="0" quotePrefix="0" xfId="0"/>
    <xf numFmtId="0" fontId="9" fillId="0" borderId="0" pivotButton="0" quotePrefix="0" xfId="0"/>
    <xf numFmtId="164" fontId="7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3F4E8"/>
        </patternFill>
      </fill>
    </dxf>
    <dxf>
      <fill>
        <patternFill patternType="solid">
          <fgColor rgb="00DCEBFB"/>
        </patternFill>
      </fill>
    </dxf>
    <dxf>
      <fill>
        <patternFill patternType="solid">
          <fgColor rgb="00FFF6D6"/>
        </patternFill>
      </fill>
    </dxf>
    <dxf>
      <fill>
        <patternFill patternType="solid">
          <fgColor rgb="00FDF0E0"/>
        </patternFill>
      </fill>
    </dxf>
    <dxf>
      <fill>
        <patternFill patternType="solid">
          <fgColor rgb="00ECECEC"/>
        </patternFill>
      </fill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bluetooth.com/specifications/specs/public-broadcast-profile/" TargetMode="External" Id="rId1"/><Relationship Type="http://schemas.openxmlformats.org/officeDocument/2006/relationships/hyperlink" Target="https://www.bluetooth.com/specifications/specs/basic-audio-profile-1-0-1/" TargetMode="External" Id="rId2"/><Relationship Type="http://schemas.openxmlformats.org/officeDocument/2006/relationships/hyperlink" Target="https://www.bluetooth.com/specifications/specs/broadcast-audio-scan-service/" TargetMode="External" Id="rId3"/><Relationship Type="http://schemas.openxmlformats.org/officeDocument/2006/relationships/hyperlink" Target="https://www.phonak.com/en-us/hearing-devices/microphones/roger-neckloop" TargetMode="External" Id="rId4"/><Relationship Type="http://schemas.openxmlformats.org/officeDocument/2006/relationships/hyperlink" Target="https://www.istok-audio.com/catalog/product/radioklass_sonet_2_0/" TargetMode="External" Id="rId5"/><Relationship Type="http://schemas.openxmlformats.org/officeDocument/2006/relationships/hyperlink" Target="https://developer.android.com/develop/connectivity/bluetooth/ble-audio/overview" TargetMode="External" Id="rId6"/><Relationship Type="http://schemas.openxmlformats.org/officeDocument/2006/relationships/hyperlink" Target="https://news.uq.edu.au/2026-03-uq-creates-change-accessibility-students" TargetMode="External" Id="rId7"/><Relationship Type="http://schemas.openxmlformats.org/officeDocument/2006/relationships/hyperlink" Target="https://www.auriaudio.com/" TargetMode="External" Id="rId8"/><Relationship Type="http://schemas.openxmlformats.org/officeDocument/2006/relationships/hyperlink" Target="https://bettear.com/" TargetMode="External" Id="rId9"/><Relationship Type="http://schemas.openxmlformats.org/officeDocument/2006/relationships/hyperlink" Target="https://hearaura.app/" TargetMode="External" Id="rId10"/><Relationship Type="http://schemas.openxmlformats.org/officeDocument/2006/relationships/hyperlink" Target="https://www.ava.me/" TargetMode="External" Id="rId11"/><Relationship Type="http://schemas.openxmlformats.org/officeDocument/2006/relationships/hyperlink" Target="https://support.google.com/accessibility/android/answer/9158064" TargetMode="External" Id="rId12"/><Relationship Type="http://schemas.openxmlformats.org/officeDocument/2006/relationships/hyperlink" Target="https://www.nordicsemi.com/Products/Development-hardware/nRF5340-Audio-DK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2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6" customWidth="1" min="5" max="5"/>
  </cols>
  <sheetData>
    <row r="2" ht="34" customHeight="1">
      <c r="B2" s="1" t="inlineStr">
        <is>
          <t>ТОЧКА ЗВУКА / ИНКЛЮЗИВНЫЙ МАРШРУТ+ — Инженерный пакет</t>
        </is>
      </c>
    </row>
    <row r="3" ht="30" customHeight="1">
      <c r="B3" s="2" t="inlineStr">
        <is>
          <t>Автор</t>
        </is>
      </c>
      <c r="C3" s="3" t="inlineStr">
        <is>
          <t>Никитин Даниил Константинович</t>
        </is>
      </c>
    </row>
    <row r="4">
      <c r="B4" s="2" t="inlineStr">
        <is>
          <t>AUTHOR_COUNT</t>
        </is>
      </c>
      <c r="C4" s="3" t="n">
        <v>1</v>
      </c>
    </row>
    <row r="5">
      <c r="B5" s="2" t="inlineStr">
        <is>
          <t>CURRENT GATE</t>
        </is>
      </c>
      <c r="C5" s="3" t="inlineStr">
        <is>
          <t>6B-3</t>
        </is>
      </c>
    </row>
    <row r="7">
      <c r="B7" s="4" t="inlineStr">
        <is>
          <t>СТАТУСЫ</t>
        </is>
      </c>
    </row>
    <row r="8">
      <c r="B8" s="2" t="inlineStr">
        <is>
          <t>Software MVP</t>
        </is>
      </c>
      <c r="C8" s="3" t="inlineStr">
        <is>
          <t>IMPLEMENTED</t>
        </is>
      </c>
    </row>
    <row r="9">
      <c r="B9" s="2" t="inlineStr">
        <is>
          <t>Real ASR</t>
        </is>
      </c>
      <c r="C9" s="3" t="inlineStr">
        <is>
          <t>PLANNED</t>
        </is>
      </c>
    </row>
    <row r="10">
      <c r="B10" s="2" t="inlineStr">
        <is>
          <t>Auracast hardware</t>
        </is>
      </c>
      <c r="C10" s="3" t="inlineStr">
        <is>
          <t>NOT PURCHASED</t>
        </is>
      </c>
    </row>
    <row r="11">
      <c r="B11" s="2" t="inlineStr">
        <is>
          <t>Bridge-T hardware</t>
        </is>
      </c>
      <c r="C11" s="3" t="inlineStr">
        <is>
          <t>PLANNED / research</t>
        </is>
      </c>
    </row>
    <row r="12">
      <c r="B12" s="2" t="inlineStr">
        <is>
          <t>Experimental measurements</t>
        </is>
      </c>
      <c r="C12" s="3" t="inlineStr">
        <is>
          <t>NOT MEASURED</t>
        </is>
      </c>
    </row>
    <row r="13">
      <c r="B13" s="2" t="inlineStr">
        <is>
          <t>Article</t>
        </is>
      </c>
      <c r="C13" s="3" t="inlineStr">
        <is>
          <t>FINAL</t>
        </is>
      </c>
    </row>
    <row r="14">
      <c r="B14" s="2" t="inlineStr">
        <is>
          <t>Presentation</t>
        </is>
      </c>
      <c r="C14" s="3" t="inlineStr">
        <is>
          <t>FINAL / current version</t>
        </is>
      </c>
    </row>
    <row r="16">
      <c r="B16" s="2" t="inlineStr">
        <is>
          <t>NEXT</t>
        </is>
      </c>
      <c r="C16" s="3" t="inlineStr">
        <is>
          <t>hardware + Local ASR + experiments</t>
        </is>
      </c>
    </row>
    <row r="17">
      <c r="B17" s="2" t="inlineStr">
        <is>
          <t>PIPELINE</t>
        </is>
      </c>
      <c r="C17" s="3" t="inlineStr">
        <is>
          <t>Software MVP → Hardware stand → Experiments → Pilot</t>
        </is>
      </c>
    </row>
    <row r="19">
      <c r="B19" s="4" t="inlineStr">
        <is>
          <t>KPI (вычисляется автоматически)</t>
        </is>
      </c>
    </row>
    <row r="20">
      <c r="B20" s="2" t="inlineStr">
        <is>
          <t>Аналоги (кол-во)</t>
        </is>
      </c>
      <c r="C20" s="5">
        <f>COUNTA('01_Аналоги'!A2:A1000)</f>
        <v/>
      </c>
    </row>
    <row r="21">
      <c r="B21" s="2" t="inlineStr">
        <is>
          <t>Эксперименты (кол-во)</t>
        </is>
      </c>
      <c r="C21" s="5">
        <f>COUNTA('04_Эксперименты'!A2:A1000)</f>
        <v/>
      </c>
    </row>
    <row r="22">
      <c r="B22" s="2" t="inlineStr">
        <is>
          <t>BOM items (кол-во)</t>
        </is>
      </c>
      <c r="C22" s="5">
        <f>COUNTA('02_BOM'!A2:A1000)</f>
        <v/>
      </c>
    </row>
    <row r="23">
      <c r="B23" s="2" t="inlineStr">
        <is>
          <t>HIGH risks (кол-во)</t>
        </is>
      </c>
      <c r="C23" s="5">
        <f>COUNTIF('06_Риски'!F2:F500,"HIGH")</f>
        <v/>
      </c>
    </row>
    <row r="24">
      <c r="B24" s="2" t="inlineStr">
        <is>
          <t>Actual measurements (кол-во)</t>
        </is>
      </c>
      <c r="C24" s="5">
        <f>COUNTIF('04_Эксперименты'!S2:S500,"COMPLETED")</f>
        <v/>
      </c>
    </row>
  </sheetData>
  <mergeCells count="1">
    <mergeCell ref="B2:E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2" customWidth="1" min="4" max="4"/>
    <col width="20" customWidth="1" min="5" max="5"/>
    <col width="20" customWidth="1" min="6" max="6"/>
    <col width="16" customWidth="1" min="7" max="7"/>
    <col width="18" customWidth="1" min="8" max="8"/>
    <col width="7" customWidth="1" min="9" max="9"/>
    <col width="9" customWidth="1" min="10" max="10"/>
    <col width="9" customWidth="1" min="11" max="11"/>
    <col width="10" customWidth="1" min="12" max="12"/>
    <col width="12" customWidth="1" min="13" max="13"/>
    <col width="10" customWidth="1" min="14" max="14"/>
    <col width="8" customWidth="1" min="15" max="15"/>
    <col width="9" customWidth="1" min="16" max="16"/>
    <col width="11" customWidth="1" min="17" max="17"/>
    <col width="11" customWidth="1" min="18" max="18"/>
    <col width="11" customWidth="1" min="19" max="19"/>
    <col width="11" customWidth="1" min="20" max="20"/>
    <col width="10" customWidth="1" min="21" max="21"/>
    <col width="12" customWidth="1" min="22" max="22"/>
    <col width="11" customWidth="1" min="23" max="23"/>
    <col width="9" customWidth="1" min="24" max="24"/>
    <col width="10" customWidth="1" min="25" max="25"/>
    <col width="10" customWidth="1" min="26" max="26"/>
    <col width="11" customWidth="1" min="27" max="27"/>
    <col width="12" customWidth="1" min="28" max="28"/>
    <col width="11" customWidth="1" min="29" max="29"/>
    <col width="11" customWidth="1" min="30" max="30"/>
    <col width="12" customWidth="1" min="31" max="31"/>
    <col width="34" customWidth="1" min="32" max="32"/>
    <col width="34" customWidth="1" min="33" max="33"/>
    <col width="14" customWidth="1" min="34" max="34"/>
    <col width="20" customWidth="1" min="35" max="35"/>
    <col width="26" customWidth="1" min="36" max="36"/>
  </cols>
  <sheetData>
    <row r="1" ht="30" customHeight="1">
      <c r="A1" s="6" t="inlineStr">
        <is>
          <t>ID</t>
        </is>
      </c>
      <c r="B1" s="6" t="inlineStr">
        <is>
          <t>Solution</t>
        </is>
      </c>
      <c r="C1" s="6" t="inlineStr">
        <is>
          <t>Manufacturer</t>
        </is>
      </c>
      <c r="D1" s="6" t="inlineStr">
        <is>
          <t>Current / Legacy / Proposed</t>
        </is>
      </c>
      <c r="E1" s="6" t="inlineStr">
        <is>
          <t>Target users</t>
        </is>
      </c>
      <c r="F1" s="6" t="inlineStr">
        <is>
          <t>Education scenario</t>
        </is>
      </c>
      <c r="G1" s="6" t="inlineStr">
        <is>
          <t>Teacher microphone</t>
        </is>
      </c>
      <c r="H1" s="6" t="inlineStr">
        <is>
          <t>Wireless technology</t>
        </is>
      </c>
      <c r="I1" s="6" t="inlineStr">
        <is>
          <t>FM</t>
        </is>
      </c>
      <c r="J1" s="6" t="inlineStr">
        <is>
          <t>Proprietary digital</t>
        </is>
      </c>
      <c r="K1" s="6" t="inlineStr">
        <is>
          <t>Auracast</t>
        </is>
      </c>
      <c r="L1" s="6" t="inlineStr">
        <is>
          <t>Dedicated receiver</t>
        </is>
      </c>
      <c r="M1" s="6" t="inlineStr">
        <is>
          <t>Consumer Auracast devices</t>
        </is>
      </c>
      <c r="N1" s="6" t="inlineStr">
        <is>
          <t>Direct HA/CI</t>
        </is>
      </c>
      <c r="O1" s="6" t="inlineStr">
        <is>
          <t>T-coil</t>
        </is>
      </c>
      <c r="P1" s="6" t="inlineStr">
        <is>
          <t>Neckloop</t>
        </is>
      </c>
      <c r="Q1" s="6" t="inlineStr">
        <is>
          <t>Clean audio output</t>
        </is>
      </c>
      <c r="R1" s="6" t="inlineStr">
        <is>
          <t>USB audio output</t>
        </is>
      </c>
      <c r="S1" s="6" t="inlineStr">
        <is>
          <t>Speech-to-text</t>
        </is>
      </c>
      <c r="T1" s="6" t="inlineStr">
        <is>
          <t>Same-source STT</t>
        </is>
      </c>
      <c r="U1" s="6" t="inlineStr">
        <is>
          <t>Live captions</t>
        </is>
      </c>
      <c r="V1" s="6" t="inlineStr">
        <is>
          <t>Timestamped transcript</t>
        </is>
      </c>
      <c r="W1" s="6" t="inlineStr">
        <is>
          <t>Missed Speech</t>
        </is>
      </c>
      <c r="X1" s="6" t="inlineStr">
        <is>
          <t>Notes (feature)</t>
        </is>
      </c>
      <c r="Y1" s="6" t="inlineStr">
        <is>
          <t>Translation</t>
        </is>
      </c>
      <c r="Z1" s="6" t="inlineStr">
        <is>
          <t>AI summary</t>
        </is>
      </c>
      <c r="AA1" s="6" t="inlineStr">
        <is>
          <t>Confidence handling</t>
        </is>
      </c>
      <c r="AB1" s="6" t="inlineStr">
        <is>
          <t>Accessibility profile</t>
        </is>
      </c>
      <c r="AC1" s="6" t="inlineStr">
        <is>
          <t>Audio without Internet</t>
        </is>
      </c>
      <c r="AD1" s="6" t="inlineStr">
        <is>
          <t>Text without Internet</t>
        </is>
      </c>
      <c r="AE1" s="6" t="inlineStr">
        <is>
          <t>Special receiver required</t>
        </is>
      </c>
      <c r="AF1" s="6" t="inlineStr">
        <is>
          <t>Major strength</t>
        </is>
      </c>
      <c r="AG1" s="6" t="inlineStr">
        <is>
          <t>Major limitation</t>
        </is>
      </c>
      <c r="AH1" s="6" t="inlineStr">
        <is>
          <t>Source ID</t>
        </is>
      </c>
      <c r="AI1" s="6" t="inlineStr">
        <is>
          <t>Evidence quality</t>
        </is>
      </c>
      <c r="AJ1" s="6" t="inlineStr">
        <is>
          <t>Notes</t>
        </is>
      </c>
    </row>
    <row r="2">
      <c r="A2" s="7" t="inlineStr">
        <is>
          <t>A-01</t>
        </is>
      </c>
      <c r="B2" s="7" t="inlineStr">
        <is>
          <t>СОНЕТ 2.0</t>
        </is>
      </c>
      <c r="C2" s="7" t="inlineStr">
        <is>
          <t>Исток-Аудио</t>
        </is>
      </c>
      <c r="D2" s="7" t="inlineStr">
        <is>
          <t>Current</t>
        </is>
      </c>
      <c r="E2" s="7" t="inlineStr">
        <is>
          <t>Слабослышащие, СА/КИ</t>
        </is>
      </c>
      <c r="F2" s="7" t="inlineStr">
        <is>
          <t>Радиокласс: школа/вуз</t>
        </is>
      </c>
      <c r="G2" s="7" t="inlineStr">
        <is>
          <t>YES</t>
        </is>
      </c>
      <c r="H2" s="7" t="inlineStr">
        <is>
          <t>UHF FM 863–865 МГц</t>
        </is>
      </c>
      <c r="I2" s="7" t="inlineStr">
        <is>
          <t>YES</t>
        </is>
      </c>
      <c r="J2" s="7" t="inlineStr">
        <is>
          <t>NO</t>
        </is>
      </c>
      <c r="K2" s="7" t="inlineStr">
        <is>
          <t>NO</t>
        </is>
      </c>
      <c r="L2" s="7" t="inlineStr">
        <is>
          <t>YES</t>
        </is>
      </c>
      <c r="M2" s="7" t="inlineStr">
        <is>
          <t>NO</t>
        </is>
      </c>
      <c r="N2" s="7" t="inlineStr">
        <is>
          <t>PARTIAL</t>
        </is>
      </c>
      <c r="O2" s="7" t="inlineStr">
        <is>
          <t>PARTIAL</t>
        </is>
      </c>
      <c r="P2" s="7" t="inlineStr">
        <is>
          <t>YES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NO</t>
        </is>
      </c>
      <c r="W2" s="7" t="inlineStr">
        <is>
          <t>NO</t>
        </is>
      </c>
      <c r="X2" s="7" t="inlineStr">
        <is>
          <t>NO</t>
        </is>
      </c>
      <c r="Y2" s="7" t="inlineStr">
        <is>
          <t>NO</t>
        </is>
      </c>
      <c r="Z2" s="7" t="inlineStr">
        <is>
          <t>NO</t>
        </is>
      </c>
      <c r="AA2" s="7" t="inlineStr">
        <is>
          <t>NO</t>
        </is>
      </c>
      <c r="AB2" s="7" t="inlineStr">
        <is>
          <t>NO</t>
        </is>
      </c>
      <c r="AC2" s="7" t="inlineStr">
        <is>
          <t>YES</t>
        </is>
      </c>
      <c r="AD2" s="7" t="inlineStr">
        <is>
          <t>NO</t>
        </is>
      </c>
      <c r="AE2" s="7" t="inlineStr">
        <is>
          <t>YES</t>
        </is>
      </c>
      <c r="AF2" s="7" t="inlineStr">
        <is>
          <t>Зрелое решение доставки чистого звука; групповое использование; индукционный выход</t>
        </is>
      </c>
      <c r="AG2" s="7" t="inlineStr">
        <is>
          <t>Нет текстового слоя; закрытый UHF; спец. приёмник у каждого</t>
        </is>
      </c>
      <c r="AH2" s="7" t="inlineStr">
        <is>
          <t>SRC-SONET</t>
        </is>
      </c>
      <c r="AI2" s="7" t="inlineStr">
        <is>
          <t>PRIMARY (vendor official)</t>
        </is>
      </c>
      <c r="AJ2" s="7" t="inlineStr">
        <is>
          <t>vendor-испытания без peer review</t>
        </is>
      </c>
    </row>
    <row r="3">
      <c r="A3" s="7" t="inlineStr">
        <is>
          <t>A-02</t>
        </is>
      </c>
      <c r="B3" s="7" t="inlineStr">
        <is>
          <t>Phonak Roger ecosystem</t>
        </is>
      </c>
      <c r="C3" s="7" t="inlineStr">
        <is>
          <t>Sonova/Phonak</t>
        </is>
      </c>
      <c r="D3" s="7" t="inlineStr">
        <is>
          <t>Current</t>
        </is>
      </c>
      <c r="E3" s="7" t="inlineStr">
        <is>
          <t>СА/КИ; образование</t>
        </is>
      </c>
      <c r="F3" s="7" t="inlineStr">
        <is>
          <t>Удалённый микрофон в классе</t>
        </is>
      </c>
      <c r="G3" s="7" t="inlineStr">
        <is>
          <t>YES</t>
        </is>
      </c>
      <c r="H3" s="7" t="inlineStr">
        <is>
          <t>2.4 ГГц proprietary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NO</t>
        </is>
      </c>
      <c r="L3" s="7" t="inlineStr">
        <is>
          <t>YES</t>
        </is>
      </c>
      <c r="M3" s="7" t="inlineStr">
        <is>
          <t>NO</t>
        </is>
      </c>
      <c r="N3" s="7" t="inlineStr">
        <is>
          <t>YES</t>
        </is>
      </c>
      <c r="O3" s="7" t="inlineStr">
        <is>
          <t>PARTIAL</t>
        </is>
      </c>
      <c r="P3" s="7" t="inlineStr">
        <is>
          <t>PARTIAL</t>
        </is>
      </c>
      <c r="Q3" s="7" t="inlineStr">
        <is>
          <t>YES</t>
        </is>
      </c>
      <c r="R3" s="7" t="inlineStr">
        <is>
          <t>PARTIAL</t>
        </is>
      </c>
      <c r="S3" s="7" t="inlineStr">
        <is>
          <t>PARTIAL</t>
        </is>
      </c>
      <c r="T3" s="7" t="inlineStr">
        <is>
          <t>PARTIAL</t>
        </is>
      </c>
      <c r="U3" s="7" t="inlineStr">
        <is>
          <t>PARTIAL</t>
        </is>
      </c>
      <c r="V3" s="7" t="inlineStr">
        <is>
          <t>UNKNOWN</t>
        </is>
      </c>
      <c r="W3" s="7" t="inlineStr">
        <is>
          <t>NO</t>
        </is>
      </c>
      <c r="X3" s="7" t="inlineStr">
        <is>
          <t>NO</t>
        </is>
      </c>
      <c r="Y3" s="7" t="inlineStr">
        <is>
          <t>NO</t>
        </is>
      </c>
      <c r="Z3" s="7" t="inlineStr">
        <is>
          <t>NO</t>
        </is>
      </c>
      <c r="AA3" s="7" t="inlineStr">
        <is>
          <t>NO</t>
        </is>
      </c>
      <c r="AB3" s="7" t="inlineStr">
        <is>
          <t>PARTIAL</t>
        </is>
      </c>
      <c r="AC3" s="7" t="inlineStr">
        <is>
          <t>YES</t>
        </is>
      </c>
      <c r="AD3" s="7" t="inlineStr">
        <is>
          <t>PARTIAL</t>
        </is>
      </c>
      <c r="AE3" s="7" t="inlineStr">
        <is>
          <t>YES</t>
        </is>
      </c>
      <c r="AF3" s="7" t="inlineStr">
        <is>
          <t>Управляемый SNR; &lt;20 мс; экосистема; приёмники для КИ</t>
        </is>
      </c>
      <c r="AG3" s="7" t="inlineStr">
        <is>
          <t>Проприетарный транспорт; цена</t>
        </is>
      </c>
      <c r="AH3" s="7" t="inlineStr">
        <is>
          <t>SRC-PHONAK</t>
        </is>
      </c>
      <c r="AI3" s="7" t="inlineStr">
        <is>
          <t>PRIMARY (vendor official)</t>
        </is>
      </c>
      <c r="AJ3" s="7" t="inlineStr"/>
    </row>
    <row r="4">
      <c r="A4" s="7" t="inlineStr">
        <is>
          <t>A-03</t>
        </is>
      </c>
      <c r="B4" s="7" t="inlineStr">
        <is>
          <t>Roger NeckLoop</t>
        </is>
      </c>
      <c r="C4" s="7" t="inlineStr">
        <is>
          <t>Sonova/Phonak</t>
        </is>
      </c>
      <c r="D4" s="7" t="inlineStr">
        <is>
          <t>Current</t>
        </is>
      </c>
      <c r="E4" s="7" t="inlineStr">
        <is>
          <t>Любые СА/КИ с T-coil</t>
        </is>
      </c>
      <c r="F4" s="7" t="inlineStr">
        <is>
          <t>Универсальный T-coil приёмник</t>
        </is>
      </c>
      <c r="G4" s="7" t="inlineStr">
        <is>
          <t>YES (через Roger mic)</t>
        </is>
      </c>
      <c r="H4" s="7" t="inlineStr">
        <is>
          <t>2.4 ГГц proprietary</t>
        </is>
      </c>
      <c r="I4" s="7" t="inlineStr">
        <is>
          <t>NO</t>
        </is>
      </c>
      <c r="J4" s="7" t="inlineStr">
        <is>
          <t>YES</t>
        </is>
      </c>
      <c r="K4" s="7" t="inlineStr">
        <is>
          <t>NO</t>
        </is>
      </c>
      <c r="L4" s="7" t="inlineStr">
        <is>
          <t>YES</t>
        </is>
      </c>
      <c r="M4" s="7" t="inlineStr">
        <is>
          <t>NO</t>
        </is>
      </c>
      <c r="N4" s="7" t="inlineStr">
        <is>
          <t>PARTIAL</t>
        </is>
      </c>
      <c r="O4" s="7" t="inlineStr">
        <is>
          <t>YES</t>
        </is>
      </c>
      <c r="P4" s="7" t="inlineStr">
        <is>
          <t>YES</t>
        </is>
      </c>
      <c r="Q4" s="7" t="inlineStr">
        <is>
          <t>YES</t>
        </is>
      </c>
      <c r="R4" s="7" t="inlineStr">
        <is>
          <t>YES</t>
        </is>
      </c>
      <c r="S4" s="7" t="inlineStr">
        <is>
          <t>YES</t>
        </is>
      </c>
      <c r="T4" s="7" t="inlineStr">
        <is>
          <t>YES</t>
        </is>
      </c>
      <c r="U4" s="7" t="inlineStr">
        <is>
          <t>PARTIAL</t>
        </is>
      </c>
      <c r="V4" s="7" t="inlineStr">
        <is>
          <t>PARTIAL</t>
        </is>
      </c>
      <c r="W4" s="7" t="inlineStr">
        <is>
          <t>NO</t>
        </is>
      </c>
      <c r="X4" s="7" t="inlineStr">
        <is>
          <t>NO</t>
        </is>
      </c>
      <c r="Y4" s="7" t="inlineStr">
        <is>
          <t>NO</t>
        </is>
      </c>
      <c r="Z4" s="7" t="inlineStr">
        <is>
          <t>NO</t>
        </is>
      </c>
      <c r="AA4" s="7" t="inlineStr">
        <is>
          <t>NO</t>
        </is>
      </c>
      <c r="AB4" s="7" t="inlineStr">
        <is>
          <t>PARTIAL</t>
        </is>
      </c>
      <c r="AC4" s="7" t="inlineStr">
        <is>
          <t>YES</t>
        </is>
      </c>
      <c r="AD4" s="7" t="inlineStr">
        <is>
          <t>PARTIAL</t>
        </is>
      </c>
      <c r="AE4" s="7" t="inlineStr">
        <is>
          <t>YES</t>
        </is>
      </c>
      <c r="AF4" s="7" t="inlineStr">
        <is>
          <t>T-coil + USB audio; официальный сценарий speech-to-text (2021)</t>
        </is>
      </c>
      <c r="AG4" s="7" t="inlineStr">
        <is>
          <t>Текст на подключённом компьютере; нет привязки к сессии</t>
        </is>
      </c>
      <c r="AH4" s="7" t="inlineStr">
        <is>
          <t>SRC-PHONAK</t>
        </is>
      </c>
      <c r="AI4" s="7" t="inlineStr">
        <is>
          <t>PRIMARY (vendor official)</t>
        </is>
      </c>
      <c r="AJ4" s="7" t="inlineStr">
        <is>
          <t>CRITICAL PRIOR ART для clean-feed → STT</t>
        </is>
      </c>
    </row>
    <row r="5">
      <c r="A5" s="7" t="inlineStr">
        <is>
          <t>A-04</t>
        </is>
      </c>
      <c r="B5" s="7" t="inlineStr">
        <is>
          <t>Roger MyLink</t>
        </is>
      </c>
      <c r="C5" s="7" t="inlineStr">
        <is>
          <t>Sonova/Phonak</t>
        </is>
      </c>
      <c r="D5" s="7" t="inlineStr">
        <is>
          <t>Legacy</t>
        </is>
      </c>
      <c r="E5" s="7" t="inlineStr">
        <is>
          <t>Любые СА/КИ с T-coil</t>
        </is>
      </c>
      <c r="F5" s="7" t="inlineStr">
        <is>
          <t>Исторический T-coil приёмник</t>
        </is>
      </c>
      <c r="G5" s="7" t="inlineStr">
        <is>
          <t>YES (через Roger mic)</t>
        </is>
      </c>
      <c r="H5" s="7" t="inlineStr">
        <is>
          <t>2.4 ГГц proprietary</t>
        </is>
      </c>
      <c r="I5" s="7" t="inlineStr">
        <is>
          <t>NO</t>
        </is>
      </c>
      <c r="J5" s="7" t="inlineStr">
        <is>
          <t>YES</t>
        </is>
      </c>
      <c r="K5" s="7" t="inlineStr">
        <is>
          <t>NO</t>
        </is>
      </c>
      <c r="L5" s="7" t="inlineStr">
        <is>
          <t>YES</t>
        </is>
      </c>
      <c r="M5" s="7" t="inlineStr">
        <is>
          <t>NO</t>
        </is>
      </c>
      <c r="N5" s="7" t="inlineStr">
        <is>
          <t>PARTIAL</t>
        </is>
      </c>
      <c r="O5" s="7" t="inlineStr">
        <is>
          <t>YES</t>
        </is>
      </c>
      <c r="P5" s="7" t="inlineStr">
        <is>
          <t>YES</t>
        </is>
      </c>
      <c r="Q5" s="7" t="inlineStr">
        <is>
          <t>YES</t>
        </is>
      </c>
      <c r="R5" s="7" t="inlineStr">
        <is>
          <t>NO</t>
        </is>
      </c>
      <c r="S5" s="7" t="inlineStr">
        <is>
          <t>NO</t>
        </is>
      </c>
      <c r="T5" s="7" t="inlineStr">
        <is>
          <t>NO</t>
        </is>
      </c>
      <c r="U5" s="7" t="inlineStr">
        <is>
          <t>NO</t>
        </is>
      </c>
      <c r="V5" s="7" t="inlineStr">
        <is>
          <t>NO</t>
        </is>
      </c>
      <c r="W5" s="7" t="inlineStr">
        <is>
          <t>NO</t>
        </is>
      </c>
      <c r="X5" s="7" t="inlineStr">
        <is>
          <t>NO</t>
        </is>
      </c>
      <c r="Y5" s="7" t="inlineStr">
        <is>
          <t>NO</t>
        </is>
      </c>
      <c r="Z5" s="7" t="inlineStr">
        <is>
          <t>NO</t>
        </is>
      </c>
      <c r="AA5" s="7" t="inlineStr">
        <is>
          <t>NO</t>
        </is>
      </c>
      <c r="AB5" s="7" t="inlineStr">
        <is>
          <t>NO</t>
        </is>
      </c>
      <c r="AC5" s="7" t="inlineStr">
        <is>
          <t>YES</t>
        </is>
      </c>
      <c r="AD5" s="7" t="inlineStr">
        <is>
          <t>NO</t>
        </is>
      </c>
      <c r="AE5" s="7" t="inlineStr">
        <is>
          <t>YES</t>
        </is>
      </c>
      <c r="AF5" s="7" t="inlineStr">
        <is>
          <t>Ранний пример класса wireless→neckloop→T-coil</t>
        </is>
      </c>
      <c r="AG5" s="7" t="inlineStr">
        <is>
          <t>EOL; без USB; снят с поддержки</t>
        </is>
      </c>
      <c r="AH5" s="7" t="inlineStr">
        <is>
          <t>SRC-PHONAK</t>
        </is>
      </c>
      <c r="AI5" s="7" t="inlineStr">
        <is>
          <t>PRIMARY (archived official)</t>
        </is>
      </c>
      <c r="AJ5" s="7" t="inlineStr">
        <is>
          <t>legacy/исторический аналог</t>
        </is>
      </c>
    </row>
    <row r="6">
      <c r="A6" s="7" t="inlineStr">
        <is>
          <t>A-05</t>
        </is>
      </c>
      <c r="B6" s="7" t="inlineStr">
        <is>
          <t>Auri</t>
        </is>
      </c>
      <c r="C6" s="7" t="inlineStr">
        <is>
          <t>Ampetronic/Listen</t>
        </is>
      </c>
      <c r="D6" s="7" t="inlineStr">
        <is>
          <t>Current</t>
        </is>
      </c>
      <c r="E6" s="7" t="inlineStr">
        <is>
          <t>Учреждения, вузы</t>
        </is>
      </c>
      <c r="F6" s="7" t="inlineStr">
        <is>
          <t>Auracast ALS (Dante)</t>
        </is>
      </c>
      <c r="G6" s="7" t="inlineStr">
        <is>
          <t>YES (через аудиосистему)</t>
        </is>
      </c>
      <c r="H6" s="7" t="inlineStr">
        <is>
          <t>Auracast (BLE)</t>
        </is>
      </c>
      <c r="I6" s="7" t="inlineStr">
        <is>
          <t>NO</t>
        </is>
      </c>
      <c r="J6" s="7" t="inlineStr">
        <is>
          <t>NO</t>
        </is>
      </c>
      <c r="K6" s="7" t="inlineStr">
        <is>
          <t>YES</t>
        </is>
      </c>
      <c r="L6" s="7" t="inlineStr">
        <is>
          <t>YES</t>
        </is>
      </c>
      <c r="M6" s="7" t="inlineStr">
        <is>
          <t>YES</t>
        </is>
      </c>
      <c r="N6" s="7" t="inlineStr">
        <is>
          <t>PARTIAL</t>
        </is>
      </c>
      <c r="O6" s="7" t="inlineStr">
        <is>
          <t>YES</t>
        </is>
      </c>
      <c r="P6" s="7" t="inlineStr">
        <is>
          <t>YES</t>
        </is>
      </c>
      <c r="Q6" s="7" t="inlineStr">
        <is>
          <t>YES</t>
        </is>
      </c>
      <c r="R6" s="7" t="inlineStr">
        <is>
          <t>UNKNOWN</t>
        </is>
      </c>
      <c r="S6" s="7" t="inlineStr">
        <is>
          <t>NO</t>
        </is>
      </c>
      <c r="T6" s="7" t="inlineStr">
        <is>
          <t>NO</t>
        </is>
      </c>
      <c r="U6" s="7" t="inlineStr">
        <is>
          <t>NO</t>
        </is>
      </c>
      <c r="V6" s="7" t="inlineStr">
        <is>
          <t>NO</t>
        </is>
      </c>
      <c r="W6" s="7" t="inlineStr">
        <is>
          <t>NO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7" t="inlineStr">
        <is>
          <t>YES</t>
        </is>
      </c>
      <c r="AD6" s="7" t="inlineStr">
        <is>
          <t>NO</t>
        </is>
      </c>
      <c r="AE6" s="7" t="inlineStr">
        <is>
          <t>YES</t>
        </is>
      </c>
      <c r="AF6" s="7" t="inlineStr">
        <is>
          <t>Auracast + RX1 + neckloop; внедрения (Oxford, UAL)</t>
        </is>
      </c>
      <c r="AG6" s="7" t="inlineStr">
        <is>
          <t>Нет текста; нужен приёмник</t>
        </is>
      </c>
      <c r="AH6" s="7" t="inlineStr">
        <is>
          <t>SRC-AURI</t>
        </is>
      </c>
      <c r="AI6" s="7" t="inlineStr">
        <is>
          <t>PRIMARY (vendor/SIG)</t>
        </is>
      </c>
      <c r="AJ6" s="7" t="inlineStr"/>
    </row>
    <row r="7">
      <c r="A7" s="7" t="inlineStr">
        <is>
          <t>A-06</t>
        </is>
      </c>
      <c r="B7" s="7" t="inlineStr">
        <is>
          <t>Bettear</t>
        </is>
      </c>
      <c r="C7" s="7" t="inlineStr">
        <is>
          <t>Bettear</t>
        </is>
      </c>
      <c r="D7" s="7" t="inlineStr">
        <is>
          <t>Current</t>
        </is>
      </c>
      <c r="E7" s="7" t="inlineStr">
        <is>
          <t>Учреждения, вузы</t>
        </is>
      </c>
      <c r="F7" s="7" t="inlineStr">
        <is>
          <t>Auracast + venue captions</t>
        </is>
      </c>
      <c r="G7" s="7" t="inlineStr">
        <is>
          <t>YES (через аудиосистему)</t>
        </is>
      </c>
      <c r="H7" s="7" t="inlineStr">
        <is>
          <t>Auracast (BLE)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YES</t>
        </is>
      </c>
      <c r="L7" s="7" t="inlineStr">
        <is>
          <t>YES</t>
        </is>
      </c>
      <c r="M7" s="7" t="inlineStr">
        <is>
          <t>YES</t>
        </is>
      </c>
      <c r="N7" s="7" t="inlineStr">
        <is>
          <t>PARTIAL</t>
        </is>
      </c>
      <c r="O7" s="7" t="inlineStr">
        <is>
          <t>YES</t>
        </is>
      </c>
      <c r="P7" s="7" t="inlineStr">
        <is>
          <t>YES</t>
        </is>
      </c>
      <c r="Q7" s="7" t="inlineStr">
        <is>
          <t>YES</t>
        </is>
      </c>
      <c r="R7" s="7" t="inlineStr">
        <is>
          <t>YES</t>
        </is>
      </c>
      <c r="S7" s="7" t="inlineStr">
        <is>
          <t>PARTIAL</t>
        </is>
      </c>
      <c r="T7" s="7" t="inlineStr">
        <is>
          <t>PARTIAL</t>
        </is>
      </c>
      <c r="U7" s="7" t="inlineStr">
        <is>
          <t>PARTIAL</t>
        </is>
      </c>
      <c r="V7" s="7" t="inlineStr">
        <is>
          <t>PARTIAL</t>
        </is>
      </c>
      <c r="W7" s="7" t="inlineStr">
        <is>
          <t>NO</t>
        </is>
      </c>
      <c r="X7" s="7" t="inlineStr">
        <is>
          <t>NO</t>
        </is>
      </c>
      <c r="Y7" s="7" t="inlineStr">
        <is>
          <t>PARTIAL</t>
        </is>
      </c>
      <c r="Z7" s="7" t="inlineStr">
        <is>
          <t>NO</t>
        </is>
      </c>
      <c r="AA7" s="7" t="inlineStr">
        <is>
          <t>NO</t>
        </is>
      </c>
      <c r="AB7" s="7" t="inlineStr">
        <is>
          <t>UNKNOWN</t>
        </is>
      </c>
      <c r="AC7" s="7" t="inlineStr">
        <is>
          <t>NO</t>
        </is>
      </c>
      <c r="AD7" s="7" t="inlineStr">
        <is>
          <t>PARTIAL</t>
        </is>
      </c>
      <c r="AE7" s="7" t="inlineStr">
        <is>
          <t>YES</t>
        </is>
      </c>
      <c r="AF7" s="7" t="inlineStr">
        <is>
          <t>Auracast + venue transcription + RTX USB feed</t>
        </is>
      </c>
      <c r="AG7" s="7" t="inlineStr">
        <is>
          <t>Нет дословного «Не расслышал»; venue-инфраструктура</t>
        </is>
      </c>
      <c r="AH7" s="7" t="inlineStr">
        <is>
          <t>SRC-BETTEAR</t>
        </is>
      </c>
      <c r="AI7" s="7" t="inlineStr">
        <is>
          <t>PRIMARY (vendor)</t>
        </is>
      </c>
      <c r="AJ7" s="7" t="inlineStr"/>
    </row>
    <row r="8">
      <c r="A8" s="7" t="inlineStr">
        <is>
          <t>A-07</t>
        </is>
      </c>
      <c r="B8" s="7" t="inlineStr">
        <is>
          <t>HearAura</t>
        </is>
      </c>
      <c r="C8" s="7" t="inlineStr">
        <is>
          <t>HearAura (indie)</t>
        </is>
      </c>
      <c r="D8" s="7" t="inlineStr">
        <is>
          <t>Current</t>
        </is>
      </c>
      <c r="E8" s="7" t="inlineStr">
        <is>
          <t>Пользователи iPhone</t>
        </is>
      </c>
      <c r="F8" s="7" t="inlineStr">
        <is>
          <t>Auracast assistant + captions</t>
        </is>
      </c>
      <c r="G8" s="7" t="inlineStr">
        <is>
          <t>NO</t>
        </is>
      </c>
      <c r="H8" s="7" t="inlineStr">
        <is>
          <t>Auracast (assistant) + mic</t>
        </is>
      </c>
      <c r="I8" s="7" t="inlineStr">
        <is>
          <t>NO</t>
        </is>
      </c>
      <c r="J8" s="7" t="inlineStr">
        <is>
          <t>NO</t>
        </is>
      </c>
      <c r="K8" s="7" t="inlineStr">
        <is>
          <t>YES</t>
        </is>
      </c>
      <c r="L8" s="7" t="inlineStr">
        <is>
          <t>NO</t>
        </is>
      </c>
      <c r="M8" s="7" t="inlineStr">
        <is>
          <t>YES</t>
        </is>
      </c>
      <c r="N8" s="7" t="inlineStr">
        <is>
          <t>PARTIAL</t>
        </is>
      </c>
      <c r="O8" s="7" t="inlineStr">
        <is>
          <t>NO</t>
        </is>
      </c>
      <c r="P8" s="7" t="inlineStr">
        <is>
          <t>NO</t>
        </is>
      </c>
      <c r="Q8" s="7" t="inlineStr">
        <is>
          <t>PARTIAL</t>
        </is>
      </c>
      <c r="R8" s="7" t="inlineStr">
        <is>
          <t>NO</t>
        </is>
      </c>
      <c r="S8" s="7" t="inlineStr">
        <is>
          <t>YES</t>
        </is>
      </c>
      <c r="T8" s="7" t="inlineStr">
        <is>
          <t>PARTIAL</t>
        </is>
      </c>
      <c r="U8" s="7" t="inlineStr">
        <is>
          <t>YES</t>
        </is>
      </c>
      <c r="V8" s="7" t="inlineStr">
        <is>
          <t>PARTIAL</t>
        </is>
      </c>
      <c r="W8" s="7" t="inlineStr">
        <is>
          <t>PARTIAL (summary)</t>
        </is>
      </c>
      <c r="X8" s="7" t="inlineStr">
        <is>
          <t>NO</t>
        </is>
      </c>
      <c r="Y8" s="7" t="inlineStr">
        <is>
          <t>UNKNOWN</t>
        </is>
      </c>
      <c r="Z8" s="7" t="inlineStr">
        <is>
          <t>YES</t>
        </is>
      </c>
      <c r="AA8" s="7" t="inlineStr">
        <is>
          <t>NO</t>
        </is>
      </c>
      <c r="AB8" s="7" t="inlineStr">
        <is>
          <t>YES</t>
        </is>
      </c>
      <c r="AC8" s="7" t="inlineStr">
        <is>
          <t>YES</t>
        </is>
      </c>
      <c r="AD8" s="7" t="inlineStr">
        <is>
          <t>YES</t>
        </is>
      </c>
      <c r="AE8" s="7" t="inlineStr">
        <is>
          <t>NO</t>
        </is>
      </c>
      <c r="AF8" s="7" t="inlineStr">
        <is>
          <t>Единственное найденное сочетание Auracast + captions</t>
        </is>
      </c>
      <c r="AG8" s="7" t="inlineStr">
        <is>
          <t>iOS-centric; «Catch me up» — summary, не дословный replay</t>
        </is>
      </c>
      <c r="AH8" s="7" t="inlineStr">
        <is>
          <t>SRC-HEARAURA</t>
        </is>
      </c>
      <c r="AI8" s="7" t="inlineStr">
        <is>
          <t>PRIMARY (product site)</t>
        </is>
      </c>
      <c r="AJ8" s="7" t="inlineStr"/>
    </row>
    <row r="9">
      <c r="A9" s="7" t="inlineStr">
        <is>
          <t>A-08</t>
        </is>
      </c>
      <c r="B9" s="7" t="inlineStr">
        <is>
          <t>Ava</t>
        </is>
      </c>
      <c r="C9" s="7" t="inlineStr">
        <is>
          <t>Ava</t>
        </is>
      </c>
      <c r="D9" s="7" t="inlineStr">
        <is>
          <t>Current</t>
        </is>
      </c>
      <c r="E9" s="7" t="inlineStr">
        <is>
          <t>Школы/вузы, DHH</t>
        </is>
      </c>
      <c r="F9" s="7" t="inlineStr">
        <is>
          <t>Live captions в классе</t>
        </is>
      </c>
      <c r="G9" s="7" t="inlineStr">
        <is>
          <t>NO</t>
        </is>
      </c>
      <c r="H9" s="7" t="inlineStr">
        <is>
          <t>BT / mic</t>
        </is>
      </c>
      <c r="I9" s="7" t="inlineStr">
        <is>
          <t>NO</t>
        </is>
      </c>
      <c r="J9" s="7" t="inlineStr">
        <is>
          <t>NO</t>
        </is>
      </c>
      <c r="K9" s="7" t="inlineStr">
        <is>
          <t>NO</t>
        </is>
      </c>
      <c r="L9" s="7" t="inlineStr">
        <is>
          <t>NO</t>
        </is>
      </c>
      <c r="M9" s="7" t="inlineStr">
        <is>
          <t>NO</t>
        </is>
      </c>
      <c r="N9" s="7" t="inlineStr">
        <is>
          <t>NO</t>
        </is>
      </c>
      <c r="O9" s="7" t="inlineStr">
        <is>
          <t>NO</t>
        </is>
      </c>
      <c r="P9" s="7" t="inlineStr">
        <is>
          <t>NO</t>
        </is>
      </c>
      <c r="Q9" s="7" t="inlineStr">
        <is>
          <t>NO</t>
        </is>
      </c>
      <c r="R9" s="7" t="inlineStr">
        <is>
          <t>NO</t>
        </is>
      </c>
      <c r="S9" s="7" t="inlineStr">
        <is>
          <t>YES</t>
        </is>
      </c>
      <c r="T9" s="7" t="inlineStr">
        <is>
          <t>NO</t>
        </is>
      </c>
      <c r="U9" s="7" t="inlineStr">
        <is>
          <t>YES</t>
        </is>
      </c>
      <c r="V9" s="7" t="inlineStr">
        <is>
          <t>YES</t>
        </is>
      </c>
      <c r="W9" s="7" t="inlineStr">
        <is>
          <t>NO (scrollback)</t>
        </is>
      </c>
      <c r="X9" s="7" t="inlineStr">
        <is>
          <t>YES</t>
        </is>
      </c>
      <c r="Y9" s="7" t="inlineStr">
        <is>
          <t>YES</t>
        </is>
      </c>
      <c r="Z9" s="7" t="inlineStr">
        <is>
          <t>YES</t>
        </is>
      </c>
      <c r="AA9" s="7" t="inlineStr">
        <is>
          <t>NO</t>
        </is>
      </c>
      <c r="AB9" s="7" t="inlineStr">
        <is>
          <t>YES</t>
        </is>
      </c>
      <c r="AC9" s="7" t="inlineStr">
        <is>
          <t>PARTIAL</t>
        </is>
      </c>
      <c r="AD9" s="7" t="inlineStr">
        <is>
          <t>PARTIAL</t>
        </is>
      </c>
      <c r="AE9" s="7" t="inlineStr">
        <is>
          <t>NO</t>
        </is>
      </c>
      <c r="AF9" s="7" t="inlineStr">
        <is>
          <t>Зрелые live captions, заметки, Scribe</t>
        </is>
      </c>
      <c r="AG9" s="7" t="inlineStr">
        <is>
          <t>Не ALS; зависит от микрофона/облака</t>
        </is>
      </c>
      <c r="AH9" s="7" t="inlineStr">
        <is>
          <t>SRC-AVA</t>
        </is>
      </c>
      <c r="AI9" s="7" t="inlineStr">
        <is>
          <t>PRIMARY (product site)</t>
        </is>
      </c>
      <c r="AJ9" s="7" t="inlineStr"/>
    </row>
    <row r="10">
      <c r="A10" s="7" t="inlineStr">
        <is>
          <t>A-09</t>
        </is>
      </c>
      <c r="B10" s="7" t="inlineStr">
        <is>
          <t>Google Live Transcribe</t>
        </is>
      </c>
      <c r="C10" s="7" t="inlineStr">
        <is>
          <t>Google</t>
        </is>
      </c>
      <c r="D10" s="7" t="inlineStr">
        <is>
          <t>Current</t>
        </is>
      </c>
      <c r="E10" s="7" t="inlineStr">
        <is>
          <t>Широкая аудитория</t>
        </is>
      </c>
      <c r="F10" s="7" t="inlineStr">
        <is>
          <t>Captions на Android</t>
        </is>
      </c>
      <c r="G10" s="7" t="inlineStr">
        <is>
          <t>NO</t>
        </is>
      </c>
      <c r="H10" s="7" t="inlineStr">
        <is>
          <t>Device audio / mic</t>
        </is>
      </c>
      <c r="I10" s="7" t="inlineStr">
        <is>
          <t>NO</t>
        </is>
      </c>
      <c r="J10" s="7" t="inlineStr">
        <is>
          <t>NO</t>
        </is>
      </c>
      <c r="K10" s="7" t="inlineStr">
        <is>
          <t>NO</t>
        </is>
      </c>
      <c r="L10" s="7" t="inlineStr">
        <is>
          <t>NO</t>
        </is>
      </c>
      <c r="M10" s="7" t="inlineStr">
        <is>
          <t>NO</t>
        </is>
      </c>
      <c r="N10" s="7" t="inlineStr">
        <is>
          <t>NO</t>
        </is>
      </c>
      <c r="O10" s="7" t="inlineStr">
        <is>
          <t>NO</t>
        </is>
      </c>
      <c r="P10" s="7" t="inlineStr">
        <is>
          <t>NO</t>
        </is>
      </c>
      <c r="Q10" s="7" t="inlineStr">
        <is>
          <t>NO</t>
        </is>
      </c>
      <c r="R10" s="7" t="inlineStr">
        <is>
          <t>NO</t>
        </is>
      </c>
      <c r="S10" s="7" t="inlineStr">
        <is>
          <t>YES</t>
        </is>
      </c>
      <c r="T10" s="7" t="inlineStr">
        <is>
          <t>NO</t>
        </is>
      </c>
      <c r="U10" s="7" t="inlineStr">
        <is>
          <t>YES</t>
        </is>
      </c>
      <c r="V10" s="7" t="inlineStr">
        <is>
          <t>YES</t>
        </is>
      </c>
      <c r="W10" s="7" t="inlineStr">
        <is>
          <t>PARTIAL (Hold/scrollback)</t>
        </is>
      </c>
      <c r="X10" s="7" t="inlineStr">
        <is>
          <t>NO</t>
        </is>
      </c>
      <c r="Y10" s="7" t="inlineStr">
        <is>
          <t>PARTIAL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YES</t>
        </is>
      </c>
      <c r="AC10" s="7" t="inlineStr">
        <is>
          <t>PARTIAL</t>
        </is>
      </c>
      <c r="AD10" s="7" t="inlineStr">
        <is>
          <t>YES</t>
        </is>
      </c>
      <c r="AE10" s="7" t="inlineStr">
        <is>
          <t>NO</t>
        </is>
      </c>
      <c r="AF10" s="7" t="inlineStr">
        <is>
          <t>Доступно; on-device; hold/scrollback</t>
        </is>
      </c>
      <c r="AG10" s="7" t="inlineStr">
        <is>
          <t>Мic-based; не связано с ALS</t>
        </is>
      </c>
      <c r="AH10" s="7" t="inlineStr">
        <is>
          <t>SRC-GOOGLE</t>
        </is>
      </c>
      <c r="AI10" s="7" t="inlineStr">
        <is>
          <t>PRIMARY (official docs)</t>
        </is>
      </c>
      <c r="AJ10" s="7" t="inlineStr"/>
    </row>
    <row r="11">
      <c r="A11" s="7" t="inlineStr">
        <is>
          <t>A-10</t>
        </is>
      </c>
      <c r="B11" s="7" t="inlineStr">
        <is>
          <t>Точка звука / Route+ [PROPOSED]</t>
        </is>
      </c>
      <c r="C11" s="7" t="inlineStr">
        <is>
          <t>Никитин Д.К. (автор проекта)</t>
        </is>
      </c>
      <c r="D11" s="7" t="inlineStr">
        <is>
          <t>Proposed</t>
        </is>
      </c>
      <c r="E11" s="7" t="inlineStr">
        <is>
          <t>PRIMARY: СА/КИ; SECONDARY: широкая аудитория</t>
        </is>
      </c>
      <c r="F11" s="7" t="inlineStr">
        <is>
          <t>Единая образовательная сессия</t>
        </is>
      </c>
      <c r="G11" s="7" t="inlineStr">
        <is>
          <t>PROPOSED (clean feed)</t>
        </is>
      </c>
      <c r="H11" s="7" t="inlineStr">
        <is>
          <t>Auracast (PROPOSED)</t>
        </is>
      </c>
      <c r="I11" s="7" t="inlineStr">
        <is>
          <t>NO</t>
        </is>
      </c>
      <c r="J11" s="7" t="inlineStr">
        <is>
          <t>NO</t>
        </is>
      </c>
      <c r="K11" s="7" t="inlineStr">
        <is>
          <t>PROPOSED</t>
        </is>
      </c>
      <c r="L11" s="7" t="inlineStr">
        <is>
          <t>RESEARCH</t>
        </is>
      </c>
      <c r="M11" s="7" t="inlineStr">
        <is>
          <t>PROPOSED</t>
        </is>
      </c>
      <c r="N11" s="7" t="inlineStr">
        <is>
          <t>PROPOSED</t>
        </is>
      </c>
      <c r="O11" s="7" t="inlineStr">
        <is>
          <t>PROPOSED</t>
        </is>
      </c>
      <c r="P11" s="7" t="inlineStr">
        <is>
          <t>PROPOSED</t>
        </is>
      </c>
      <c r="Q11" s="7" t="inlineStr">
        <is>
          <t>PROPOSED</t>
        </is>
      </c>
      <c r="R11" s="7" t="inlineStr">
        <is>
          <t>PROPOSED</t>
        </is>
      </c>
      <c r="S11" s="7" t="inlineStr">
        <is>
          <t>PROPOSED</t>
        </is>
      </c>
      <c r="T11" s="7" t="inlineStr">
        <is>
          <t>PROPOSED</t>
        </is>
      </c>
      <c r="U11" s="7" t="inlineStr">
        <is>
          <t>IMPLEMENTED_MVP</t>
        </is>
      </c>
      <c r="V11" s="7" t="inlineStr">
        <is>
          <t>IMPLEMENTED_MVP</t>
        </is>
      </c>
      <c r="W11" s="7" t="inlineStr">
        <is>
          <t>IMPLEMENTED_MVP</t>
        </is>
      </c>
      <c r="X11" s="7" t="inlineStr">
        <is>
          <t>IMPLEMENTED_MVP</t>
        </is>
      </c>
      <c r="Y11" s="7" t="inlineStr">
        <is>
          <t>PROPOSED (PHASE_2)</t>
        </is>
      </c>
      <c r="Z11" s="7" t="inlineStr">
        <is>
          <t>RESEARCH</t>
        </is>
      </c>
      <c r="AA11" s="7" t="inlineStr">
        <is>
          <t>RESEARCH</t>
        </is>
      </c>
      <c r="AB11" s="7" t="inlineStr">
        <is>
          <t>IMPLEMENTED_MVP</t>
        </is>
      </c>
      <c r="AC11" s="7" t="inlineStr">
        <is>
          <t>PROPOSED</t>
        </is>
      </c>
      <c r="AD11" s="7" t="inlineStr">
        <is>
          <t>RESEARCH</t>
        </is>
      </c>
      <c r="AE11" s="7" t="inlineStr">
        <is>
          <t>PARTIAL</t>
        </is>
      </c>
      <c r="AF11" s="7" t="inlineStr">
        <is>
          <t>Единая сессия: аудио + синхронизированный текст; «Не расслышал»</t>
        </is>
      </c>
      <c r="AG11" s="7" t="inlineStr">
        <is>
          <t>Hardware не закуплен; реальный ASR не реализован; часть — research</t>
        </is>
      </c>
      <c r="AH11" s="7" t="inlineStr">
        <is>
          <t>SRC-INTERNAL</t>
        </is>
      </c>
      <c r="AI11" s="7" t="inlineStr">
        <is>
          <t>PROJECT (implementation evidence)</t>
        </is>
      </c>
      <c r="AJ11" s="7" t="inlineStr">
        <is>
          <t>clean-feed и Bridge-T не заявлены новизной</t>
        </is>
      </c>
    </row>
  </sheetData>
  <autoFilter ref="A1:AJ11"/>
  <conditionalFormatting sqref="G2:AE1000">
    <cfRule type="cellIs" priority="1" operator="equal" dxfId="0">
      <formula>"DONE"</formula>
    </cfRule>
    <cfRule type="cellIs" priority="2" operator="equal" dxfId="0">
      <formula>"COMPLETED"</formula>
    </cfRule>
    <cfRule type="cellIs" priority="3" operator="equal" dxfId="0">
      <formula>"IMPLEMENTED_MVP"</formula>
    </cfRule>
    <cfRule type="cellIs" priority="4" operator="equal" dxfId="0">
      <formula>"READY"</formula>
    </cfRule>
    <cfRule type="cellIs" priority="5" operator="equal" dxfId="0">
      <formula>"YES"</formula>
    </cfRule>
    <cfRule type="cellIs" priority="6" operator="equal" dxfId="0">
      <formula>"SOURCE PRICE"</formula>
    </cfRule>
    <cfRule type="cellIs" priority="7" operator="equal" dxfId="1">
      <formula>"CURRENT"</formula>
    </cfRule>
    <cfRule type="cellIs" priority="8" operator="equal" dxfId="1">
      <formula>"READY-ON-HW"</formula>
    </cfRule>
    <cfRule type="cellIs" priority="9" operator="equal" dxfId="1">
      <formula>"PARTIAL"</formula>
    </cfRule>
    <cfRule type="cellIs" priority="10" operator="equal" dxfId="2">
      <formula>"NEXT"</formula>
    </cfRule>
    <cfRule type="cellIs" priority="11" operator="equal" dxfId="2">
      <formula>"PLANNED"</formula>
    </cfRule>
    <cfRule type="cellIs" priority="12" operator="equal" dxfId="2">
      <formula>"PROPOSED"</formula>
    </cfRule>
    <cfRule type="cellIs" priority="13" operator="equal" dxfId="2">
      <formula>"RESEARCH"</formula>
    </cfRule>
    <cfRule type="cellIs" priority="14" operator="equal" dxfId="3">
      <formula>"NEEDS QUOTE"</formula>
    </cfRule>
    <cfRule type="cellIs" priority="15" operator="equal" dxfId="3">
      <formula>"ESTIMATE"</formula>
    </cfRule>
    <cfRule type="cellIs" priority="16" operator="equal" dxfId="4">
      <formula>"FUTURE"</formula>
    </cfRule>
    <cfRule type="cellIs" priority="17" operator="equal" dxfId="4">
      <formula>"UNKNOWN"</formula>
    </cfRule>
    <cfRule type="cellIs" priority="18" operator="equal" dxfId="4">
      <formula>"NOT MEASURED"</formula>
    </cfRule>
    <cfRule type="cellIs" priority="19" operator="equal" dxfId="4">
      <formula>"NOT PURCHASED"</formula>
    </cfRule>
    <cfRule type="cellIs" priority="20" operator="equal" dxfId="4">
      <formula>"NO"</formula>
    </cfRule>
    <cfRule type="cellIs" priority="21" operator="equal" dxfId="4">
      <formula>"LEGACY"</formula>
    </cfRule>
    <cfRule type="cellIs" priority="22" operator="equal" dxfId="5">
      <formula>"HIGH"</formula>
    </cfRule>
  </conditionalFormatting>
  <dataValidations count="1">
    <dataValidation sqref="G2:AE1000" showDropDown="0" showInputMessage="0" showErrorMessage="0" allowBlank="1" type="list">
      <formula1>"YES,NO,PARTIAL,UNKNOWN,PROPOSED,IMPLEMENTED_MVP,RESEARCH"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8" customWidth="1" min="4" max="4"/>
    <col width="22" customWidth="1" min="5" max="5"/>
    <col width="22" customWidth="1" min="6" max="6"/>
    <col width="12" customWidth="1" min="7" max="7"/>
    <col width="8" customWidth="1" min="8" max="8"/>
    <col width="7" customWidth="1" min="9" max="9"/>
    <col width="11" customWidth="1" min="10" max="10"/>
    <col width="8" customWidth="1" min="11" max="11"/>
    <col width="12" customWidth="1" min="12" max="12"/>
    <col width="13" customWidth="1" min="13" max="13"/>
    <col width="11" customWidth="1" min="14" max="14"/>
    <col width="34" customWidth="1" min="15" max="15"/>
    <col width="12" customWidth="1" min="16" max="16"/>
    <col width="9" customWidth="1" min="17" max="17"/>
    <col width="13" customWidth="1" min="18" max="18"/>
    <col width="34" customWidth="1" min="19" max="19"/>
  </cols>
  <sheetData>
    <row r="1" ht="30" customHeight="1">
      <c r="A1" s="6" t="inlineStr">
        <is>
          <t>Item ID</t>
        </is>
      </c>
      <c r="B1" s="6" t="inlineStr">
        <is>
          <t>Subsystem</t>
        </is>
      </c>
      <c r="C1" s="6" t="inlineStr">
        <is>
          <t>Item</t>
        </is>
      </c>
      <c r="D1" s="6" t="inlineStr">
        <is>
          <t>Manufacturer</t>
        </is>
      </c>
      <c r="E1" s="6" t="inlineStr">
        <is>
          <t>Model</t>
        </is>
      </c>
      <c r="F1" s="6" t="inlineStr">
        <is>
          <t>Purpose</t>
        </is>
      </c>
      <c r="G1" s="6" t="inlineStr">
        <is>
          <t>Required / Optional</t>
        </is>
      </c>
      <c r="H1" s="6" t="inlineStr">
        <is>
          <t>Quantity</t>
        </is>
      </c>
      <c r="I1" s="6" t="inlineStr">
        <is>
          <t>Unit</t>
        </is>
      </c>
      <c r="J1" s="6" t="inlineStr">
        <is>
          <t>Unit Price</t>
        </is>
      </c>
      <c r="K1" s="6" t="inlineStr">
        <is>
          <t>Currency</t>
        </is>
      </c>
      <c r="L1" s="6" t="inlineStr">
        <is>
          <t>Estimated Total</t>
        </is>
      </c>
      <c r="M1" s="6" t="inlineStr">
        <is>
          <t>Price Status</t>
        </is>
      </c>
      <c r="N1" s="6" t="inlineStr">
        <is>
          <t>Price Date</t>
        </is>
      </c>
      <c r="O1" s="6" t="inlineStr">
        <is>
          <t>Source</t>
        </is>
      </c>
      <c r="P1" s="6" t="inlineStr">
        <is>
          <t>Purchased?</t>
        </is>
      </c>
      <c r="Q1" s="6" t="inlineStr">
        <is>
          <t>Existing?</t>
        </is>
      </c>
      <c r="R1" s="6" t="inlineStr">
        <is>
          <t>Experiment IDs</t>
        </is>
      </c>
      <c r="S1" s="6" t="inlineStr">
        <is>
          <t>Notes</t>
        </is>
      </c>
    </row>
    <row r="2">
      <c r="A2" s="7" t="inlineStr">
        <is>
          <t>BOM-A-01</t>
        </is>
      </c>
      <c r="B2" s="7" t="inlineStr">
        <is>
          <t>A. Research stand</t>
        </is>
      </c>
      <c r="C2" s="7" t="inlineStr">
        <is>
          <t>LE Audio devkit (Broadcast Source + Sink)</t>
        </is>
      </c>
      <c r="D2" s="7" t="inlineStr">
        <is>
          <t>Nordic Semiconductor</t>
        </is>
      </c>
      <c r="E2" s="7" t="inlineStr">
        <is>
          <t>nRF5340 Audio DK</t>
        </is>
      </c>
      <c r="F2" s="7" t="inlineStr">
        <is>
          <t>Source и sink, контроль LC3/QoS</t>
        </is>
      </c>
      <c r="G2" s="7" t="inlineStr">
        <is>
          <t>Required</t>
        </is>
      </c>
      <c r="H2" s="7" t="n">
        <v>2</v>
      </c>
      <c r="I2" s="7" t="inlineStr">
        <is>
          <t>pcs</t>
        </is>
      </c>
      <c r="J2" s="7" t="n">
        <v>172.57</v>
      </c>
      <c r="K2" s="7" t="inlineStr">
        <is>
          <t>USD</t>
        </is>
      </c>
      <c r="L2" s="8">
        <f>IF(N(J2)=0,"",H2*J2)</f>
        <v/>
      </c>
      <c r="M2" s="7" t="inlineStr">
        <is>
          <t>Estimate</t>
        </is>
      </c>
      <c r="N2" s="7" t="n"/>
      <c r="O2" s="7" t="inlineStr">
        <is>
          <t>https://www.nordicsemi.com/Products/Development-hardware/nRF5340-Audio-DK</t>
        </is>
      </c>
      <c r="P2" s="7" t="inlineStr">
        <is>
          <t>NOT PURCHASED</t>
        </is>
      </c>
      <c r="Q2" s="7" t="inlineStr">
        <is>
          <t>NO</t>
        </is>
      </c>
      <c r="R2" s="7" t="inlineStr">
        <is>
          <t>E01;E03;E04</t>
        </is>
      </c>
      <c r="S2" s="7" t="inlineStr">
        <is>
          <t>Ориентир ~$172.57/pc (DigiKey); цену подтвердить</t>
        </is>
      </c>
    </row>
    <row r="3">
      <c r="A3" s="7" t="inlineStr">
        <is>
          <t>BOM-A-02</t>
        </is>
      </c>
      <c r="B3" s="7" t="inlineStr">
        <is>
          <t>A. Research stand</t>
        </is>
      </c>
      <c r="C3" s="7" t="inlineStr">
        <is>
          <t>Microphone / audio source</t>
        </is>
      </c>
      <c r="D3" s="7" t="inlineStr">
        <is>
          <t>TBD</t>
        </is>
      </c>
      <c r="E3" s="7" t="inlineStr">
        <is>
          <t>TBD</t>
        </is>
      </c>
      <c r="F3" s="7" t="inlineStr">
        <is>
          <t>Подача речи на line-in</t>
        </is>
      </c>
      <c r="G3" s="7" t="inlineStr">
        <is>
          <t>Required</t>
        </is>
      </c>
      <c r="H3" s="7" t="n">
        <v>1</v>
      </c>
      <c r="I3" s="7" t="inlineStr">
        <is>
          <t>pcs</t>
        </is>
      </c>
      <c r="J3" s="7" t="n"/>
      <c r="K3" s="7" t="inlineStr">
        <is>
          <t>USD</t>
        </is>
      </c>
      <c r="L3" s="8">
        <f>IF(N(J3)=0,"",H3*J3)</f>
        <v/>
      </c>
      <c r="M3" s="7" t="inlineStr">
        <is>
          <t>NEEDS QUOTE</t>
        </is>
      </c>
      <c r="N3" s="7" t="n"/>
      <c r="O3" s="7" t="inlineStr">
        <is>
          <t>PURCHASE_DECISION.md</t>
        </is>
      </c>
      <c r="P3" s="7" t="inlineStr">
        <is>
          <t>NO</t>
        </is>
      </c>
      <c r="Q3" s="7" t="inlineStr">
        <is>
          <t>UNKNOWN</t>
        </is>
      </c>
      <c r="R3" s="7" t="inlineStr">
        <is>
          <t>E01;E04</t>
        </is>
      </c>
      <c r="S3" s="7" t="inlineStr">
        <is>
          <t>Модель не выбрана</t>
        </is>
      </c>
    </row>
    <row r="4">
      <c r="A4" s="7" t="inlineStr">
        <is>
          <t>BOM-A-03</t>
        </is>
      </c>
      <c r="B4" s="7" t="inlineStr">
        <is>
          <t>A. Research stand</t>
        </is>
      </c>
      <c r="C4" s="7" t="inlineStr">
        <is>
          <t>3.5 mm cables / adapters</t>
        </is>
      </c>
      <c r="D4" s="7" t="inlineStr">
        <is>
          <t>TBD</t>
        </is>
      </c>
      <c r="E4" s="7" t="inlineStr">
        <is>
          <t>TBD</t>
        </is>
      </c>
      <c r="F4" s="7" t="inlineStr">
        <is>
          <t>Подключение line-in/out</t>
        </is>
      </c>
      <c r="G4" s="7" t="inlineStr">
        <is>
          <t>Required</t>
        </is>
      </c>
      <c r="H4" s="7" t="n">
        <v>4</v>
      </c>
      <c r="I4" s="7" t="inlineStr">
        <is>
          <t>pcs</t>
        </is>
      </c>
      <c r="J4" s="7" t="n"/>
      <c r="K4" s="7" t="inlineStr">
        <is>
          <t>USD</t>
        </is>
      </c>
      <c r="L4" s="8">
        <f>IF(N(J4)=0,"",H4*J4)</f>
        <v/>
      </c>
      <c r="M4" s="7" t="inlineStr">
        <is>
          <t>NEEDS QUOTE</t>
        </is>
      </c>
      <c r="N4" s="7" t="n"/>
      <c r="O4" s="7" t="inlineStr">
        <is>
          <t>PURCHASE_DECISION.md</t>
        </is>
      </c>
      <c r="P4" s="7" t="inlineStr">
        <is>
          <t>NO</t>
        </is>
      </c>
      <c r="Q4" s="7" t="inlineStr">
        <is>
          <t>UNKNOWN</t>
        </is>
      </c>
      <c r="R4" s="7" t="inlineStr">
        <is>
          <t>E01;E04;E07</t>
        </is>
      </c>
      <c r="S4" s="7" t="inlineStr"/>
    </row>
    <row r="5">
      <c r="A5" s="7" t="inlineStr">
        <is>
          <t>BOM-A-04</t>
        </is>
      </c>
      <c r="B5" s="7" t="inlineStr">
        <is>
          <t>A. Research stand</t>
        </is>
      </c>
      <c r="C5" s="7" t="inlineStr">
        <is>
          <t>USB cables</t>
        </is>
      </c>
      <c r="D5" s="7" t="inlineStr">
        <is>
          <t>TBD</t>
        </is>
      </c>
      <c r="E5" s="7" t="inlineStr">
        <is>
          <t>TBD</t>
        </is>
      </c>
      <c r="F5" s="7" t="inlineStr">
        <is>
          <t>Питание/данные devkit</t>
        </is>
      </c>
      <c r="G5" s="7" t="inlineStr">
        <is>
          <t>Optional</t>
        </is>
      </c>
      <c r="H5" s="7" t="n">
        <v>2</v>
      </c>
      <c r="I5" s="7" t="inlineStr">
        <is>
          <t>pcs</t>
        </is>
      </c>
      <c r="J5" s="7" t="n"/>
      <c r="K5" s="7" t="inlineStr">
        <is>
          <t>USD</t>
        </is>
      </c>
      <c r="L5" s="8">
        <f>IF(N(J5)=0,"",H5*J5)</f>
        <v/>
      </c>
      <c r="M5" s="7" t="inlineStr">
        <is>
          <t>NEEDS QUOTE</t>
        </is>
      </c>
      <c r="N5" s="7" t="n"/>
      <c r="O5" s="7" t="inlineStr">
        <is>
          <t>PURCHASE_DECISION.md</t>
        </is>
      </c>
      <c r="P5" s="7" t="inlineStr">
        <is>
          <t>NO</t>
        </is>
      </c>
      <c r="Q5" s="7" t="inlineStr">
        <is>
          <t>UNKNOWN</t>
        </is>
      </c>
      <c r="R5" s="7" t="inlineStr">
        <is>
          <t>E01;E03</t>
        </is>
      </c>
      <c r="S5" s="7" t="inlineStr">
        <is>
          <t>Часто идут в комплекте</t>
        </is>
      </c>
    </row>
    <row r="6">
      <c r="A6" s="7" t="inlineStr">
        <is>
          <t>BOM-A-05</t>
        </is>
      </c>
      <c r="B6" s="7" t="inlineStr">
        <is>
          <t>A. Research stand</t>
        </is>
      </c>
      <c r="C6" s="7" t="inlineStr">
        <is>
          <t>PC / laptop</t>
        </is>
      </c>
      <c r="D6" s="7" t="inlineStr">
        <is>
          <t>Existing</t>
        </is>
      </c>
      <c r="E6" s="7" t="inlineStr">
        <is>
          <t>TBD</t>
        </is>
      </c>
      <c r="F6" s="7" t="inlineStr">
        <is>
          <t>Управление, логи, ASR</t>
        </is>
      </c>
      <c r="G6" s="7" t="inlineStr">
        <is>
          <t>Required</t>
        </is>
      </c>
      <c r="H6" s="7" t="n">
        <v>1</v>
      </c>
      <c r="I6" s="7" t="inlineStr">
        <is>
          <t>pcs</t>
        </is>
      </c>
      <c r="J6" s="7" t="n"/>
      <c r="K6" s="7" t="inlineStr">
        <is>
          <t>USD</t>
        </is>
      </c>
      <c r="L6" s="8">
        <f>IF(N(J6)=0,"",H6*J6)</f>
        <v/>
      </c>
      <c r="M6" s="7" t="inlineStr">
        <is>
          <t>NOT PURCHASED</t>
        </is>
      </c>
      <c r="N6" s="7" t="n"/>
      <c r="O6" s="7" t="inlineStr">
        <is>
          <t>EXISTING</t>
        </is>
      </c>
      <c r="P6" s="7" t="inlineStr">
        <is>
          <t>YES</t>
        </is>
      </c>
      <c r="Q6" s="7" t="inlineStr">
        <is>
          <t>E01;E03;E04;E05</t>
        </is>
      </c>
      <c r="R6" s="7" t="inlineStr">
        <is>
          <t>Предполагается имеющимся</t>
        </is>
      </c>
    </row>
    <row r="7">
      <c r="A7" s="7" t="inlineStr">
        <is>
          <t>BOM-A-06</t>
        </is>
      </c>
      <c r="B7" s="7" t="inlineStr">
        <is>
          <t>A. Research stand</t>
        </is>
      </c>
      <c r="C7" s="7" t="inlineStr">
        <is>
          <t>Measurement audio interface / oscilloscope</t>
        </is>
      </c>
      <c r="D7" s="7" t="inlineStr">
        <is>
          <t>TBD</t>
        </is>
      </c>
      <c r="E7" s="7" t="inlineStr">
        <is>
          <t>TBD</t>
        </is>
      </c>
      <c r="F7" s="7" t="inlineStr">
        <is>
          <t>Измерение задержки</t>
        </is>
      </c>
      <c r="G7" s="7" t="inlineStr">
        <is>
          <t>Required</t>
        </is>
      </c>
      <c r="H7" s="7" t="n">
        <v>1</v>
      </c>
      <c r="I7" s="7" t="inlineStr">
        <is>
          <t>pcs</t>
        </is>
      </c>
      <c r="J7" s="7" t="n"/>
      <c r="K7" s="7" t="inlineStr">
        <is>
          <t>USD</t>
        </is>
      </c>
      <c r="L7" s="8">
        <f>IF(N(J7)=0,"",H7*J7)</f>
        <v/>
      </c>
      <c r="M7" s="7" t="inlineStr">
        <is>
          <t>NEEDS QUOTE</t>
        </is>
      </c>
      <c r="N7" s="7" t="n"/>
      <c r="O7" s="7" t="inlineStr">
        <is>
          <t>LATENCY_TEST_PROTOCOL.md</t>
        </is>
      </c>
      <c r="P7" s="7" t="inlineStr">
        <is>
          <t>NO</t>
        </is>
      </c>
      <c r="Q7" s="7" t="inlineStr">
        <is>
          <t>UNKNOWN</t>
        </is>
      </c>
      <c r="R7" s="7" t="inlineStr">
        <is>
          <t>E01</t>
        </is>
      </c>
      <c r="S7" s="7" t="inlineStr">
        <is>
          <t>Наличие не подтверждено</t>
        </is>
      </c>
    </row>
    <row r="8">
      <c r="A8" s="7" t="inlineStr">
        <is>
          <t>BOM-B-01</t>
        </is>
      </c>
      <c r="B8" s="7" t="inlineStr">
        <is>
          <t>B. Low-cost demo</t>
        </is>
      </c>
      <c r="C8" s="7" t="inlineStr">
        <is>
          <t>Auracast USB transmitter/receiver</t>
        </is>
      </c>
      <c r="D8" s="7" t="inlineStr">
        <is>
          <t>Flairmesh</t>
        </is>
      </c>
      <c r="E8" s="7" t="inlineStr">
        <is>
          <t>FlooGoo FMA120</t>
        </is>
      </c>
      <c r="F8" s="7" t="inlineStr">
        <is>
          <t>Быстрый источник/приёмник для демо</t>
        </is>
      </c>
      <c r="G8" s="7" t="inlineStr">
        <is>
          <t>Optional</t>
        </is>
      </c>
      <c r="H8" s="7" t="n">
        <v>1</v>
      </c>
      <c r="I8" s="7" t="inlineStr">
        <is>
          <t>pcs</t>
        </is>
      </c>
      <c r="J8" s="7" t="n"/>
      <c r="K8" s="7" t="inlineStr">
        <is>
          <t>USD</t>
        </is>
      </c>
      <c r="L8" s="8">
        <f>IF(N(J8)=0,"",H8*J8)</f>
        <v/>
      </c>
      <c r="M8" s="7" t="inlineStr">
        <is>
          <t>NEEDS QUOTE</t>
        </is>
      </c>
      <c r="N8" s="7" t="n"/>
      <c r="O8" s="7" t="inlineStr">
        <is>
          <t>https://www.flairmesh.com/Dongle/FMA120.html</t>
        </is>
      </c>
      <c r="P8" s="7" t="inlineStr">
        <is>
          <t>NO</t>
        </is>
      </c>
      <c r="Q8" s="7" t="inlineStr">
        <is>
          <t>NO</t>
        </is>
      </c>
      <c r="R8" s="7" t="inlineStr">
        <is>
          <t>DEMO</t>
        </is>
      </c>
      <c r="S8" s="7" t="inlineStr">
        <is>
          <t>Vendor-диапазон ~$45–130; точную цену подтвердить</t>
        </is>
      </c>
    </row>
    <row r="9">
      <c r="A9" s="7" t="inlineStr">
        <is>
          <t>BOM-B-02</t>
        </is>
      </c>
      <c r="B9" s="7" t="inlineStr">
        <is>
          <t>B. Low-cost demo</t>
        </is>
      </c>
      <c r="C9" s="7" t="inlineStr">
        <is>
          <t>Auracast receiver with analog out</t>
        </is>
      </c>
      <c r="D9" s="7" t="inlineStr">
        <is>
          <t>Avantree</t>
        </is>
      </c>
      <c r="E9" s="7" t="inlineStr">
        <is>
          <t>AuraClip (RC240)</t>
        </is>
      </c>
      <c r="F9" s="7" t="inlineStr">
        <is>
          <t>Приёмник с 3.5 мм выходом</t>
        </is>
      </c>
      <c r="G9" s="7" t="inlineStr">
        <is>
          <t>Optional</t>
        </is>
      </c>
      <c r="H9" s="7" t="n">
        <v>1</v>
      </c>
      <c r="I9" s="7" t="inlineStr">
        <is>
          <t>pcs</t>
        </is>
      </c>
      <c r="J9" s="7" t="n">
        <v>69.98999999999999</v>
      </c>
      <c r="K9" s="7" t="inlineStr">
        <is>
          <t>EUR</t>
        </is>
      </c>
      <c r="L9" s="8">
        <f>IF(N(J9)=0,"",H9*J9)</f>
        <v/>
      </c>
      <c r="M9" s="7" t="inlineStr">
        <is>
          <t>SOURCE PRICE</t>
        </is>
      </c>
      <c r="N9" s="7" t="inlineStr">
        <is>
          <t>2026-09-26</t>
        </is>
      </c>
      <c r="O9" s="7" t="inlineStr">
        <is>
          <t>https://avantree.com/products/auraclip-auracast-receiver</t>
        </is>
      </c>
      <c r="P9" s="7" t="inlineStr">
        <is>
          <t>NO</t>
        </is>
      </c>
      <c r="Q9" s="7" t="inlineStr">
        <is>
          <t>NO</t>
        </is>
      </c>
      <c r="R9" s="7" t="inlineStr">
        <is>
          <t>DEMO;E07</t>
        </is>
      </c>
      <c r="S9" s="7" t="inlineStr"/>
    </row>
    <row r="10">
      <c r="A10" s="7" t="inlineStr">
        <is>
          <t>BOM-B-03</t>
        </is>
      </c>
      <c r="B10" s="7" t="inlineStr">
        <is>
          <t>B. Low-cost demo</t>
        </is>
      </c>
      <c r="C10" s="7" t="inlineStr">
        <is>
          <t>Auracast USB transmitter</t>
        </is>
      </c>
      <c r="D10" s="7" t="inlineStr">
        <is>
          <t>MoerLab</t>
        </is>
      </c>
      <c r="E10" s="7" t="inlineStr">
        <is>
          <t>MoerLink / DB100</t>
        </is>
      </c>
      <c r="F10" s="7" t="inlineStr">
        <is>
          <t>Альтернативный источник</t>
        </is>
      </c>
      <c r="G10" s="7" t="inlineStr">
        <is>
          <t>Optional</t>
        </is>
      </c>
      <c r="H10" s="7" t="n">
        <v>1</v>
      </c>
      <c r="I10" s="7" t="inlineStr">
        <is>
          <t>pcs</t>
        </is>
      </c>
      <c r="J10" s="7" t="n">
        <v>59</v>
      </c>
      <c r="K10" s="7" t="inlineStr">
        <is>
          <t>USD</t>
        </is>
      </c>
      <c r="L10" s="8">
        <f>IF(N(J10)=0,"",H10*J10)</f>
        <v/>
      </c>
      <c r="M10" s="7" t="inlineStr">
        <is>
          <t>SOURCE PRICE</t>
        </is>
      </c>
      <c r="N10" s="7" t="inlineStr">
        <is>
          <t>2026-09-26</t>
        </is>
      </c>
      <c r="O10" s="7" t="inlineStr">
        <is>
          <t>https://www.moor-audio.com/collections/transmitter</t>
        </is>
      </c>
      <c r="P10" s="7" t="inlineStr">
        <is>
          <t>NO</t>
        </is>
      </c>
      <c r="Q10" s="7" t="inlineStr">
        <is>
          <t>NO</t>
        </is>
      </c>
      <c r="R10" s="7" t="inlineStr">
        <is>
          <t>DEMO</t>
        </is>
      </c>
      <c r="S10" s="7" t="inlineStr">
        <is>
          <t>Альтернатива, не совместная обязательная закупка</t>
        </is>
      </c>
    </row>
    <row r="11">
      <c r="A11" s="7" t="inlineStr">
        <is>
          <t>BOM-C-01</t>
        </is>
      </c>
      <c r="B11" s="7" t="inlineStr">
        <is>
          <t>C. Bridge-T experiment</t>
        </is>
      </c>
      <c r="C11" s="7" t="inlineStr">
        <is>
          <t>Auracast sink (analog output)</t>
        </is>
      </c>
      <c r="D11" s="7" t="inlineStr">
        <is>
          <t>Avantree</t>
        </is>
      </c>
      <c r="E11" s="7" t="inlineStr">
        <is>
          <t>AuraClip (RC240) / nRF5340 DK</t>
        </is>
      </c>
      <c r="F11" s="7" t="inlineStr">
        <is>
          <t>Источник аудио для индукции</t>
        </is>
      </c>
      <c r="G11" s="7" t="inlineStr">
        <is>
          <t>Required</t>
        </is>
      </c>
      <c r="H11" s="7" t="n">
        <v>1</v>
      </c>
      <c r="I11" s="7" t="inlineStr">
        <is>
          <t>pcs</t>
        </is>
      </c>
      <c r="J11" s="7" t="n">
        <v>69.98999999999999</v>
      </c>
      <c r="K11" s="7" t="inlineStr">
        <is>
          <t>EUR</t>
        </is>
      </c>
      <c r="L11" s="8">
        <f>IF(N(J11)=0,"",H11*J11)</f>
        <v/>
      </c>
      <c r="M11" s="7" t="inlineStr">
        <is>
          <t>SOURCE PRICE</t>
        </is>
      </c>
      <c r="N11" s="7" t="inlineStr">
        <is>
          <t>2026-09-26</t>
        </is>
      </c>
      <c r="O11" s="7" t="inlineStr">
        <is>
          <t>BRIDGE_T_MVP_SPEC.md</t>
        </is>
      </c>
      <c r="P11" s="7" t="inlineStr">
        <is>
          <t>NO</t>
        </is>
      </c>
      <c r="Q11" s="7" t="inlineStr">
        <is>
          <t>NO</t>
        </is>
      </c>
      <c r="R11" s="7" t="inlineStr">
        <is>
          <t>E07</t>
        </is>
      </c>
      <c r="S11" s="7" t="inlineStr">
        <is>
          <t>Может быть взят из B</t>
        </is>
      </c>
    </row>
    <row r="12">
      <c r="A12" s="7" t="inlineStr">
        <is>
          <t>BOM-C-02</t>
        </is>
      </c>
      <c r="B12" s="7" t="inlineStr">
        <is>
          <t>C. Bridge-T experiment</t>
        </is>
      </c>
      <c r="C12" s="7" t="inlineStr">
        <is>
          <t>Induction neckloop</t>
        </is>
      </c>
      <c r="D12" s="7" t="inlineStr">
        <is>
          <t>Williams AV</t>
        </is>
      </c>
      <c r="E12" s="7" t="inlineStr">
        <is>
          <t>NKL 001</t>
        </is>
      </c>
      <c r="F12" s="7" t="inlineStr">
        <is>
          <t>Магнитное поле для T/MT</t>
        </is>
      </c>
      <c r="G12" s="7" t="inlineStr">
        <is>
          <t>Required</t>
        </is>
      </c>
      <c r="H12" s="7" t="n">
        <v>1</v>
      </c>
      <c r="I12" s="7" t="inlineStr">
        <is>
          <t>pcs</t>
        </is>
      </c>
      <c r="J12" s="7" t="n">
        <v>78</v>
      </c>
      <c r="K12" s="7" t="inlineStr">
        <is>
          <t>USD</t>
        </is>
      </c>
      <c r="L12" s="8">
        <f>IF(N(J12)=0,"",H12*J12)</f>
        <v/>
      </c>
      <c r="M12" s="7" t="inlineStr">
        <is>
          <t>SOURCE PRICE</t>
        </is>
      </c>
      <c r="N12" s="7" t="inlineStr">
        <is>
          <t>2026-09-26</t>
        </is>
      </c>
      <c r="O12" s="7" t="inlineStr">
        <is>
          <t>https://williamsav.com/product/nkl-001/</t>
        </is>
      </c>
      <c r="P12" s="7" t="inlineStr">
        <is>
          <t>NO</t>
        </is>
      </c>
      <c r="Q12" s="7" t="inlineStr">
        <is>
          <t>NO</t>
        </is>
      </c>
      <c r="R12" s="7" t="inlineStr">
        <is>
          <t>E07</t>
        </is>
      </c>
      <c r="S12" s="7" t="inlineStr">
        <is>
          <t>Альтернатива HearCoil</t>
        </is>
      </c>
    </row>
    <row r="13">
      <c r="A13" s="7" t="inlineStr">
        <is>
          <t>BOM-C-03</t>
        </is>
      </c>
      <c r="B13" s="7" t="inlineStr">
        <is>
          <t>C. Bridge-T experiment</t>
        </is>
      </c>
      <c r="C13" s="7" t="inlineStr">
        <is>
          <t>Induction neckloop (alternative)</t>
        </is>
      </c>
      <c r="D13" s="7" t="inlineStr">
        <is>
          <t>Avantree</t>
        </is>
      </c>
      <c r="E13" s="7" t="inlineStr">
        <is>
          <t>HearCoil</t>
        </is>
      </c>
      <c r="F13" s="7" t="inlineStr">
        <is>
          <t>Альтернативный neckloop</t>
        </is>
      </c>
      <c r="G13" s="7" t="inlineStr">
        <is>
          <t>Optional</t>
        </is>
      </c>
      <c r="H13" s="7" t="n">
        <v>1</v>
      </c>
      <c r="I13" s="7" t="inlineStr">
        <is>
          <t>pcs</t>
        </is>
      </c>
      <c r="J13" s="7" t="n">
        <v>69.98999999999999</v>
      </c>
      <c r="K13" s="7" t="inlineStr">
        <is>
          <t>EUR</t>
        </is>
      </c>
      <c r="L13" s="8">
        <f>IF(N(J13)=0,"",H13*J13)</f>
        <v/>
      </c>
      <c r="M13" s="7" t="inlineStr">
        <is>
          <t>SOURCE PRICE</t>
        </is>
      </c>
      <c r="N13" s="7" t="inlineStr">
        <is>
          <t>2026-09-26</t>
        </is>
      </c>
      <c r="O13" s="7" t="inlineStr">
        <is>
          <t>https://avantree.com/collections/t-coil-accessories</t>
        </is>
      </c>
      <c r="P13" s="7" t="inlineStr">
        <is>
          <t>NO</t>
        </is>
      </c>
      <c r="Q13" s="7" t="inlineStr">
        <is>
          <t>NO</t>
        </is>
      </c>
      <c r="R13" s="7" t="inlineStr">
        <is>
          <t>E07</t>
        </is>
      </c>
      <c r="S13" s="7" t="inlineStr">
        <is>
          <t>Pre-order</t>
        </is>
      </c>
    </row>
    <row r="14">
      <c r="A14" s="7" t="inlineStr">
        <is>
          <t>BOM-C-04</t>
        </is>
      </c>
      <c r="B14" s="7" t="inlineStr">
        <is>
          <t>C. Bridge-T experiment</t>
        </is>
      </c>
      <c r="C14" s="7" t="inlineStr">
        <is>
          <t>Hearing aid / CI with T/MT access</t>
        </is>
      </c>
      <c r="D14" s="7" t="inlineStr">
        <is>
          <t>TBD (participant device)</t>
        </is>
      </c>
      <c r="E14" s="7" t="inlineStr">
        <is>
          <t>TBD</t>
        </is>
      </c>
      <c r="F14" s="7" t="inlineStr">
        <is>
          <t>Приём T/MT сигнала</t>
        </is>
      </c>
      <c r="G14" s="7" t="inlineStr">
        <is>
          <t>Required</t>
        </is>
      </c>
      <c r="H14" s="7" t="n">
        <v>1</v>
      </c>
      <c r="I14" s="7" t="inlineStr">
        <is>
          <t>pcs</t>
        </is>
      </c>
      <c r="J14" s="7" t="n"/>
      <c r="K14" s="7" t="inlineStr">
        <is>
          <t>USD</t>
        </is>
      </c>
      <c r="L14" s="8">
        <f>IF(N(J14)=0,"",H14*J14)</f>
        <v/>
      </c>
      <c r="M14" s="7" t="inlineStr">
        <is>
          <t>NEEDS QUOTE</t>
        </is>
      </c>
      <c r="N14" s="7" t="n"/>
      <c r="O14" s="7" t="inlineStr">
        <is>
          <t>BRIDGE_T_MVP_SPEC.md</t>
        </is>
      </c>
      <c r="P14" s="7" t="inlineStr">
        <is>
          <t>NO</t>
        </is>
      </c>
      <c r="Q14" s="7" t="inlineStr">
        <is>
          <t>UNKNOWN</t>
        </is>
      </c>
      <c r="R14" s="7" t="inlineStr">
        <is>
          <t>E07</t>
        </is>
      </c>
      <c r="S14" s="7" t="inlineStr">
        <is>
          <t>Наличие подходящего устройства не подтверждено</t>
        </is>
      </c>
    </row>
    <row r="15">
      <c r="A15" s="7" t="inlineStr">
        <is>
          <t>BOM-C-05</t>
        </is>
      </c>
      <c r="B15" s="7" t="inlineStr">
        <is>
          <t>C. Bridge-T experiment</t>
        </is>
      </c>
      <c r="C15" s="7" t="inlineStr">
        <is>
          <t>Cables / adapters</t>
        </is>
      </c>
      <c r="D15" s="7" t="inlineStr">
        <is>
          <t>TBD</t>
        </is>
      </c>
      <c r="E15" s="7" t="inlineStr">
        <is>
          <t>TBD</t>
        </is>
      </c>
      <c r="F15" s="7" t="inlineStr">
        <is>
          <t>Подключение индукционного каскада</t>
        </is>
      </c>
      <c r="G15" s="7" t="inlineStr">
        <is>
          <t>Required</t>
        </is>
      </c>
      <c r="H15" s="7" t="n">
        <v>2</v>
      </c>
      <c r="I15" s="7" t="inlineStr">
        <is>
          <t>pcs</t>
        </is>
      </c>
      <c r="J15" s="7" t="n"/>
      <c r="K15" s="7" t="inlineStr">
        <is>
          <t>USD</t>
        </is>
      </c>
      <c r="L15" s="8">
        <f>IF(N(J15)=0,"",H15*J15)</f>
        <v/>
      </c>
      <c r="M15" s="7" t="inlineStr">
        <is>
          <t>NEEDS QUOTE</t>
        </is>
      </c>
      <c r="N15" s="7" t="n"/>
      <c r="O15" s="7" t="inlineStr">
        <is>
          <t>BRIDGE_T_MVP_SPEC.md</t>
        </is>
      </c>
      <c r="P15" s="7" t="inlineStr">
        <is>
          <t>NO</t>
        </is>
      </c>
      <c r="Q15" s="7" t="inlineStr">
        <is>
          <t>UNKNOWN</t>
        </is>
      </c>
      <c r="R15" s="7" t="inlineStr">
        <is>
          <t>E07</t>
        </is>
      </c>
      <c r="S15" s="7" t="inlineStr"/>
    </row>
    <row r="16">
      <c r="A16" s="7" t="inlineStr">
        <is>
          <t>BOM-C-06</t>
        </is>
      </c>
      <c r="B16" s="7" t="inlineStr">
        <is>
          <t>C. Bridge-T experiment</t>
        </is>
      </c>
      <c r="C16" s="7" t="inlineStr">
        <is>
          <t>Measurement equipment (field/level)</t>
        </is>
      </c>
      <c r="D16" s="7" t="inlineStr">
        <is>
          <t>TBD</t>
        </is>
      </c>
      <c r="E16" s="7" t="inlineStr">
        <is>
          <t>TBD</t>
        </is>
      </c>
      <c r="F16" s="7" t="inlineStr">
        <is>
          <t>Измерение индукционного поля</t>
        </is>
      </c>
      <c r="G16" s="7" t="inlineStr">
        <is>
          <t>Optional</t>
        </is>
      </c>
      <c r="H16" s="7" t="n">
        <v>1</v>
      </c>
      <c r="I16" s="7" t="inlineStr">
        <is>
          <t>pcs</t>
        </is>
      </c>
      <c r="J16" s="7" t="n"/>
      <c r="K16" s="7" t="inlineStr">
        <is>
          <t>USD</t>
        </is>
      </c>
      <c r="L16" s="8">
        <f>IF(N(J16)=0,"",H16*J16)</f>
        <v/>
      </c>
      <c r="M16" s="7" t="inlineStr">
        <is>
          <t>NEEDS QUOTE</t>
        </is>
      </c>
      <c r="N16" s="7" t="n"/>
      <c r="O16" s="7" t="inlineStr">
        <is>
          <t>BRIDGE_T_MVP_SPEC.md</t>
        </is>
      </c>
      <c r="P16" s="7" t="inlineStr">
        <is>
          <t>NO</t>
        </is>
      </c>
      <c r="Q16" s="7" t="inlineStr">
        <is>
          <t>UNKNOWN</t>
        </is>
      </c>
      <c r="R16" s="7" t="inlineStr">
        <is>
          <t>E07</t>
        </is>
      </c>
      <c r="S16" s="7" t="inlineStr"/>
    </row>
    <row r="17">
      <c r="A17" s="7" t="inlineStr">
        <is>
          <t>BOM-D-01</t>
        </is>
      </c>
      <c r="B17" s="7" t="inlineStr">
        <is>
          <t>D. ASR experiment</t>
        </is>
      </c>
      <c r="C17" s="7" t="inlineStr">
        <is>
          <t>Smartphone for phone-mic arm</t>
        </is>
      </c>
      <c r="D17" s="7" t="inlineStr">
        <is>
          <t>TBD</t>
        </is>
      </c>
      <c r="E17" s="7" t="inlineStr">
        <is>
          <t>TBD</t>
        </is>
      </c>
      <c r="F17" s="7" t="inlineStr">
        <is>
          <t>Канал PHONE_MIC в E05</t>
        </is>
      </c>
      <c r="G17" s="7" t="inlineStr">
        <is>
          <t>Required</t>
        </is>
      </c>
      <c r="H17" s="7" t="n">
        <v>2</v>
      </c>
      <c r="I17" s="7" t="inlineStr">
        <is>
          <t>pcs</t>
        </is>
      </c>
      <c r="J17" s="7" t="n"/>
      <c r="K17" s="7" t="inlineStr">
        <is>
          <t>USD</t>
        </is>
      </c>
      <c r="L17" s="8">
        <f>IF(N(J17)=0,"",H17*J17)</f>
        <v/>
      </c>
      <c r="M17" s="7" t="inlineStr">
        <is>
          <t>NEEDS QUOTE</t>
        </is>
      </c>
      <c r="N17" s="7" t="n"/>
      <c r="O17" s="7" t="inlineStr">
        <is>
          <t>ASR_COMPARISON_PROTOCOL.md</t>
        </is>
      </c>
      <c r="P17" s="7" t="inlineStr">
        <is>
          <t>NO</t>
        </is>
      </c>
      <c r="Q17" s="7" t="inlineStr">
        <is>
          <t>UNKNOWN</t>
        </is>
      </c>
      <c r="R17" s="7" t="inlineStr">
        <is>
          <t>E05</t>
        </is>
      </c>
      <c r="S17" s="7" t="inlineStr">
        <is>
          <t>Разные классы телефонов; наличие не подтверждено</t>
        </is>
      </c>
    </row>
    <row r="18">
      <c r="A18" s="7" t="inlineStr">
        <is>
          <t>BOM-D-02</t>
        </is>
      </c>
      <c r="B18" s="7" t="inlineStr">
        <is>
          <t>D. ASR experiment</t>
        </is>
      </c>
      <c r="C18" s="7" t="inlineStr">
        <is>
          <t>Clean-feed capture device</t>
        </is>
      </c>
      <c r="D18" s="7" t="inlineStr">
        <is>
          <t>TBD</t>
        </is>
      </c>
      <c r="E18" s="7" t="inlineStr">
        <is>
          <t>TBD</t>
        </is>
      </c>
      <c r="F18" s="7" t="inlineStr">
        <is>
          <t>Канал CLEAN_FEED в E05</t>
        </is>
      </c>
      <c r="G18" s="7" t="inlineStr">
        <is>
          <t>Required</t>
        </is>
      </c>
      <c r="H18" s="7" t="n">
        <v>1</v>
      </c>
      <c r="I18" s="7" t="inlineStr">
        <is>
          <t>pcs</t>
        </is>
      </c>
      <c r="J18" s="7" t="n"/>
      <c r="K18" s="7" t="inlineStr">
        <is>
          <t>USD</t>
        </is>
      </c>
      <c r="L18" s="8">
        <f>IF(N(J18)=0,"",H18*J18)</f>
        <v/>
      </c>
      <c r="M18" s="7" t="inlineStr">
        <is>
          <t>NEEDS QUOTE</t>
        </is>
      </c>
      <c r="N18" s="7" t="n"/>
      <c r="O18" s="7" t="inlineStr">
        <is>
          <t>ASR_COMPARISON_PROTOCOL.md</t>
        </is>
      </c>
      <c r="P18" s="7" t="inlineStr">
        <is>
          <t>NO</t>
        </is>
      </c>
      <c r="Q18" s="7" t="inlineStr">
        <is>
          <t>UNKNOWN</t>
        </is>
      </c>
      <c r="R18" s="7" t="inlineStr">
        <is>
          <t>E05</t>
        </is>
      </c>
      <c r="S18" s="7" t="inlineStr"/>
    </row>
    <row r="19">
      <c r="A19" s="7" t="inlineStr">
        <is>
          <t>BOM-D-03</t>
        </is>
      </c>
      <c r="B19" s="7" t="inlineStr">
        <is>
          <t>D. ASR experiment</t>
        </is>
      </c>
      <c r="C19" s="7" t="inlineStr">
        <is>
          <t>Local ASR software (T-one)</t>
        </is>
      </c>
      <c r="D19" s="7" t="inlineStr">
        <is>
          <t>VoiceKit/T-Bank</t>
        </is>
      </c>
      <c r="E19" s="7" t="inlineStr">
        <is>
          <t>T-one (Apache-2.0)</t>
        </is>
      </c>
      <c r="F19" s="7" t="inlineStr">
        <is>
          <t>Streaming распознавание для E05</t>
        </is>
      </c>
      <c r="G19" s="7" t="inlineStr">
        <is>
          <t>Required</t>
        </is>
      </c>
      <c r="H19" s="7" t="n">
        <v>1</v>
      </c>
      <c r="I19" s="7" t="inlineStr">
        <is>
          <t>license</t>
        </is>
      </c>
      <c r="J19" s="7" t="n">
        <v>0</v>
      </c>
      <c r="K19" s="7" t="inlineStr">
        <is>
          <t>USD</t>
        </is>
      </c>
      <c r="L19" s="8">
        <f>IF(N(J19)=0,"",H19*J19)</f>
        <v/>
      </c>
      <c r="M19" s="7" t="inlineStr">
        <is>
          <t>SOURCE PRICE</t>
        </is>
      </c>
      <c r="N19" s="7" t="inlineStr">
        <is>
          <t>2026-09-26</t>
        </is>
      </c>
      <c r="O19" s="7" t="inlineStr">
        <is>
          <t>https://github.com/voicekit-team/T-one</t>
        </is>
      </c>
      <c r="P19" s="7" t="inlineStr">
        <is>
          <t>NO</t>
        </is>
      </c>
      <c r="Q19" s="7" t="inlineStr">
        <is>
          <t>NO</t>
        </is>
      </c>
      <c r="R19" s="7" t="inlineStr">
        <is>
          <t>E05</t>
        </is>
      </c>
      <c r="S19" s="7" t="inlineStr">
        <is>
          <t>Бесплатно; веса НЕ скачаны</t>
        </is>
      </c>
    </row>
    <row r="20">
      <c r="A20" s="7" t="inlineStr">
        <is>
          <t>BOM-D-04</t>
        </is>
      </c>
      <c r="B20" s="7" t="inlineStr">
        <is>
          <t>D. ASR experiment</t>
        </is>
      </c>
      <c r="C20" s="7" t="inlineStr">
        <is>
          <t>Local ASR software (GigaAM-v3)</t>
        </is>
      </c>
      <c r="D20" s="7" t="inlineStr">
        <is>
          <t>Sber</t>
        </is>
      </c>
      <c r="E20" s="7" t="inlineStr">
        <is>
          <t>GigaAM-v3 RNNT (MIT)</t>
        </is>
      </c>
      <c r="F20" s="7" t="inlineStr">
        <is>
          <t>Batch-эталон для WER</t>
        </is>
      </c>
      <c r="G20" s="7" t="inlineStr">
        <is>
          <t>Optional</t>
        </is>
      </c>
      <c r="H20" s="7" t="n">
        <v>1</v>
      </c>
      <c r="I20" s="7" t="inlineStr">
        <is>
          <t>license</t>
        </is>
      </c>
      <c r="J20" s="7" t="n">
        <v>0</v>
      </c>
      <c r="K20" s="7" t="inlineStr">
        <is>
          <t>USD</t>
        </is>
      </c>
      <c r="L20" s="8">
        <f>IF(N(J20)=0,"",H20*J20)</f>
        <v/>
      </c>
      <c r="M20" s="7" t="inlineStr">
        <is>
          <t>SOURCE PRICE</t>
        </is>
      </c>
      <c r="N20" s="7" t="inlineStr">
        <is>
          <t>2026-09-26</t>
        </is>
      </c>
      <c r="O20" s="7" t="inlineStr">
        <is>
          <t>https://github.com/salute-developers/GigaAM</t>
        </is>
      </c>
      <c r="P20" s="7" t="inlineStr">
        <is>
          <t>NO</t>
        </is>
      </c>
      <c r="Q20" s="7" t="inlineStr">
        <is>
          <t>NO</t>
        </is>
      </c>
      <c r="R20" s="7" t="inlineStr">
        <is>
          <t>E05</t>
        </is>
      </c>
      <c r="S20" s="7" t="inlineStr">
        <is>
          <t>Бесплатно; веса НЕ скачаны</t>
        </is>
      </c>
    </row>
    <row r="22">
      <c r="C22" s="9" t="inlineStr">
        <is>
          <t>TOTAL by currency</t>
        </is>
      </c>
    </row>
    <row r="23">
      <c r="C23" t="inlineStr">
        <is>
          <t>Total USD</t>
        </is>
      </c>
      <c r="K23" t="inlineStr">
        <is>
          <t>USD</t>
        </is>
      </c>
      <c r="L23" s="10">
        <f>SUMIF($K$2:$K$20,"USD",$L$2:$L$20)</f>
        <v/>
      </c>
    </row>
    <row r="24">
      <c r="C24" t="inlineStr">
        <is>
          <t>Total RUB</t>
        </is>
      </c>
      <c r="K24" t="inlineStr">
        <is>
          <t>RUB</t>
        </is>
      </c>
      <c r="L24" s="10">
        <f>SUMIF($K$2:$K$20,"RUB",$L$2:$L$20)</f>
        <v/>
      </c>
    </row>
    <row r="25">
      <c r="C25" t="inlineStr">
        <is>
          <t>Total EUR</t>
        </is>
      </c>
      <c r="K25" t="inlineStr">
        <is>
          <t>EUR</t>
        </is>
      </c>
      <c r="L25" s="10">
        <f>SUMIF($K$2:$K$20,"EUR",$L$2:$L$20)</f>
        <v/>
      </c>
    </row>
    <row r="26">
      <c r="C26" s="11" t="inlineStr">
        <is>
          <t>Примечание: валюты не суммируются между собой; конвертация не выполняется.</t>
        </is>
      </c>
    </row>
  </sheetData>
  <autoFilter ref="A1:S20"/>
  <conditionalFormatting sqref="M2:M20">
    <cfRule type="cellIs" priority="1" operator="equal" dxfId="0">
      <formula>"DONE"</formula>
    </cfRule>
    <cfRule type="cellIs" priority="2" operator="equal" dxfId="0">
      <formula>"COMPLETED"</formula>
    </cfRule>
    <cfRule type="cellIs" priority="3" operator="equal" dxfId="0">
      <formula>"IMPLEMENTED_MVP"</formula>
    </cfRule>
    <cfRule type="cellIs" priority="4" operator="equal" dxfId="0">
      <formula>"READY"</formula>
    </cfRule>
    <cfRule type="cellIs" priority="5" operator="equal" dxfId="0">
      <formula>"YES"</formula>
    </cfRule>
    <cfRule type="cellIs" priority="6" operator="equal" dxfId="0">
      <formula>"SOURCE PRICE"</formula>
    </cfRule>
    <cfRule type="cellIs" priority="7" operator="equal" dxfId="1">
      <formula>"CURRENT"</formula>
    </cfRule>
    <cfRule type="cellIs" priority="8" operator="equal" dxfId="1">
      <formula>"READY-ON-HW"</formula>
    </cfRule>
    <cfRule type="cellIs" priority="9" operator="equal" dxfId="1">
      <formula>"PARTIAL"</formula>
    </cfRule>
    <cfRule type="cellIs" priority="10" operator="equal" dxfId="2">
      <formula>"NEXT"</formula>
    </cfRule>
    <cfRule type="cellIs" priority="11" operator="equal" dxfId="2">
      <formula>"PLANNED"</formula>
    </cfRule>
    <cfRule type="cellIs" priority="12" operator="equal" dxfId="2">
      <formula>"PROPOSED"</formula>
    </cfRule>
    <cfRule type="cellIs" priority="13" operator="equal" dxfId="2">
      <formula>"RESEARCH"</formula>
    </cfRule>
    <cfRule type="cellIs" priority="14" operator="equal" dxfId="3">
      <formula>"NEEDS QUOTE"</formula>
    </cfRule>
    <cfRule type="cellIs" priority="15" operator="equal" dxfId="3">
      <formula>"ESTIMATE"</formula>
    </cfRule>
    <cfRule type="cellIs" priority="16" operator="equal" dxfId="4">
      <formula>"FUTURE"</formula>
    </cfRule>
    <cfRule type="cellIs" priority="17" operator="equal" dxfId="4">
      <formula>"UNKNOWN"</formula>
    </cfRule>
    <cfRule type="cellIs" priority="18" operator="equal" dxfId="4">
      <formula>"NOT MEASURED"</formula>
    </cfRule>
    <cfRule type="cellIs" priority="19" operator="equal" dxfId="4">
      <formula>"NOT PURCHASED"</formula>
    </cfRule>
    <cfRule type="cellIs" priority="20" operator="equal" dxfId="4">
      <formula>"NO"</formula>
    </cfRule>
    <cfRule type="cellIs" priority="21" operator="equal" dxfId="4">
      <formula>"LEGACY"</formula>
    </cfRule>
    <cfRule type="cellIs" priority="22" operator="equal" dxfId="5">
      <formula>"HIGH"</formula>
    </cfRule>
  </conditionalFormatting>
  <dataValidations count="4">
    <dataValidation sqref="K2:K20" showDropDown="0" showInputMessage="0" showErrorMessage="0" allowBlank="1" type="list">
      <formula1>"USD,RUB,EUR"</formula1>
    </dataValidation>
    <dataValidation sqref="M2:M20" showDropDown="0" showInputMessage="0" showErrorMessage="0" allowBlank="1" type="list">
      <formula1>"SOURCE PRICE,ESTIMATE,NEEDS QUOTE,NOT PURCHASED"</formula1>
    </dataValidation>
    <dataValidation sqref="P2:P20" showDropDown="0" showInputMessage="0" showErrorMessage="0" allowBlank="1" type="list">
      <formula1>"NOT PURCHASED,PURCHASED"</formula1>
    </dataValidation>
    <dataValidation sqref="Q2:Q20" showDropDown="0" showInputMessage="0" showErrorMessage="0" allowBlank="1" type="list">
      <formula1>"YES,NO,UNKNOWN,EXISTING"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30" customWidth="1" min="8" max="8"/>
    <col width="12" customWidth="1" min="9" max="9"/>
    <col width="12" customWidth="1" min="10" max="10"/>
    <col width="34" customWidth="1" min="11" max="11"/>
    <col width="13" customWidth="1" min="12" max="12"/>
  </cols>
  <sheetData>
    <row r="1" ht="30" customHeight="1">
      <c r="A1" s="6" t="inlineStr">
        <is>
          <t>Scenario</t>
        </is>
      </c>
      <c r="B1" s="6" t="inlineStr">
        <is>
          <t>Item</t>
        </is>
      </c>
      <c r="C1" s="6" t="inlineStr">
        <is>
          <t>Qty</t>
        </is>
      </c>
      <c r="D1" s="6" t="inlineStr">
        <is>
          <t>Currency</t>
        </is>
      </c>
      <c r="E1" s="6" t="inlineStr">
        <is>
          <t>Unit Price</t>
        </is>
      </c>
      <c r="F1" s="6" t="inlineStr">
        <is>
          <t>Cost</t>
        </is>
      </c>
      <c r="G1" s="6" t="inlineStr">
        <is>
          <t>Mandatory?</t>
        </is>
      </c>
      <c r="H1" s="6" t="inlineStr">
        <is>
          <t>Why</t>
        </is>
      </c>
      <c r="I1" s="6" t="inlineStr">
        <is>
          <t>Blocks experiment?</t>
        </is>
      </c>
      <c r="J1" s="6" t="inlineStr">
        <is>
          <t>Purchase priority</t>
        </is>
      </c>
      <c r="K1" s="6" t="inlineStr">
        <is>
          <t>Source</t>
        </is>
      </c>
      <c r="L1" s="6" t="inlineStr">
        <is>
          <t>Status</t>
        </is>
      </c>
    </row>
    <row r="2">
      <c r="A2" s="7" t="inlineStr">
        <is>
          <t>SCENARIO A — Research</t>
        </is>
      </c>
      <c r="B2" s="7" t="inlineStr">
        <is>
          <t>Nordic nRF5340 Audio DK</t>
        </is>
      </c>
      <c r="C2" s="7" t="n">
        <v>2</v>
      </c>
      <c r="D2" s="7" t="inlineStr">
        <is>
          <t>USD</t>
        </is>
      </c>
      <c r="E2" s="7">
        <f>'02_BOM'!J2</f>
        <v/>
      </c>
      <c r="F2" s="8">
        <f>IF(OR(N(D2)=0,N(E2)=0),"",C2*E2)</f>
        <v/>
      </c>
      <c r="G2" s="7" t="inlineStr">
        <is>
          <t>YES</t>
        </is>
      </c>
      <c r="H2" s="7" t="inlineStr">
        <is>
          <t>Полный контроль LC3/QoS/PD</t>
        </is>
      </c>
      <c r="I2" s="7" t="inlineStr">
        <is>
          <t>YES</t>
        </is>
      </c>
      <c r="J2" s="7" t="inlineStr">
        <is>
          <t>P1</t>
        </is>
      </c>
      <c r="K2" s="7" t="inlineStr">
        <is>
          <t>https://www.nordicsemi.com/Products/Development-hardware/nRF5340-Audio-DK</t>
        </is>
      </c>
      <c r="L2" s="7" t="inlineStr">
        <is>
          <t>NOT PURCHASED</t>
        </is>
      </c>
    </row>
    <row r="3">
      <c r="A3" s="7" t="inlineStr">
        <is>
          <t>SCENARIO A — Research</t>
        </is>
      </c>
      <c r="B3" s="7" t="inlineStr">
        <is>
          <t>Microphone / audio source</t>
        </is>
      </c>
      <c r="C3" s="7" t="n">
        <v>1</v>
      </c>
      <c r="D3" s="7" t="inlineStr">
        <is>
          <t>USD</t>
        </is>
      </c>
      <c r="E3" s="7">
        <f>'02_BOM'!J3</f>
        <v/>
      </c>
      <c r="F3" s="8">
        <f>IF(OR(N(D3)=0,N(E3)=0),"",C3*E3)</f>
        <v/>
      </c>
      <c r="G3" s="7" t="inlineStr">
        <is>
          <t>YES</t>
        </is>
      </c>
      <c r="H3" s="7" t="inlineStr">
        <is>
          <t>Подача речи для E01/E04</t>
        </is>
      </c>
      <c r="I3" s="7" t="inlineStr">
        <is>
          <t>YES</t>
        </is>
      </c>
      <c r="J3" s="7" t="inlineStr">
        <is>
          <t>P1</t>
        </is>
      </c>
      <c r="K3" s="7" t="inlineStr">
        <is>
          <t>PURCHASE_DECISION.md</t>
        </is>
      </c>
      <c r="L3" s="7" t="inlineStr">
        <is>
          <t>NEEDS QUOTE</t>
        </is>
      </c>
    </row>
    <row r="4">
      <c r="A4" s="7" t="inlineStr">
        <is>
          <t>SCENARIO A — Research</t>
        </is>
      </c>
      <c r="B4" s="7" t="inlineStr">
        <is>
          <t>3.5 mm cables / adapters</t>
        </is>
      </c>
      <c r="C4" s="7" t="n">
        <v>4</v>
      </c>
      <c r="D4" s="7" t="inlineStr">
        <is>
          <t>USD</t>
        </is>
      </c>
      <c r="E4" s="7">
        <f>'02_BOM'!J4</f>
        <v/>
      </c>
      <c r="F4" s="8">
        <f>IF(OR(N(D4)=0,N(E4)=0),"",C4*E4)</f>
        <v/>
      </c>
      <c r="G4" s="7" t="inlineStr">
        <is>
          <t>YES</t>
        </is>
      </c>
      <c r="H4" s="7" t="inlineStr">
        <is>
          <t>Коммутация стенда</t>
        </is>
      </c>
      <c r="I4" s="7" t="inlineStr">
        <is>
          <t>YES</t>
        </is>
      </c>
      <c r="J4" s="7" t="inlineStr">
        <is>
          <t>P2</t>
        </is>
      </c>
      <c r="K4" s="7" t="inlineStr">
        <is>
          <t>PURCHASE_DECISION.md</t>
        </is>
      </c>
      <c r="L4" s="7" t="inlineStr">
        <is>
          <t>NEEDS QUOTE</t>
        </is>
      </c>
    </row>
    <row r="5">
      <c r="A5" s="7" t="inlineStr">
        <is>
          <t>SCENARIO A — Research</t>
        </is>
      </c>
      <c r="B5" s="7" t="inlineStr">
        <is>
          <t>Measurement audio interface / oscilloscope</t>
        </is>
      </c>
      <c r="C5" s="7" t="n">
        <v>1</v>
      </c>
      <c r="D5" s="7" t="inlineStr">
        <is>
          <t>USD</t>
        </is>
      </c>
      <c r="E5" s="7">
        <f>'02_BOM'!J7</f>
        <v/>
      </c>
      <c r="F5" s="8">
        <f>IF(OR(N(D5)=0,N(E5)=0),"",C5*E5)</f>
        <v/>
      </c>
      <c r="G5" s="7" t="inlineStr">
        <is>
          <t>YES</t>
        </is>
      </c>
      <c r="H5" s="7" t="inlineStr">
        <is>
          <t>Измерение задержки E01</t>
        </is>
      </c>
      <c r="I5" s="7" t="inlineStr">
        <is>
          <t>YES</t>
        </is>
      </c>
      <c r="J5" s="7" t="inlineStr">
        <is>
          <t>P1</t>
        </is>
      </c>
      <c r="K5" s="7" t="inlineStr">
        <is>
          <t>LATENCY_TEST_PROTOCOL.md</t>
        </is>
      </c>
      <c r="L5" s="7" t="inlineStr">
        <is>
          <t>NEEDS QUOTE</t>
        </is>
      </c>
    </row>
    <row r="6">
      <c r="A6" s="7" t="inlineStr">
        <is>
          <t>SCENARIO B — Low-cost demo</t>
        </is>
      </c>
      <c r="B6" s="7" t="inlineStr">
        <is>
          <t>FlooGoo FMA120</t>
        </is>
      </c>
      <c r="C6" s="7" t="n">
        <v>1</v>
      </c>
      <c r="D6" s="7" t="inlineStr">
        <is>
          <t>USD</t>
        </is>
      </c>
      <c r="E6" s="7">
        <f>'02_BOM'!J8</f>
        <v/>
      </c>
      <c r="F6" s="8">
        <f>IF(OR(N(D6)=0,N(E6)=0),"",C6*E6)</f>
        <v/>
      </c>
      <c r="G6" s="7" t="inlineStr">
        <is>
          <t>NO</t>
        </is>
      </c>
      <c r="H6" s="7" t="inlineStr">
        <is>
          <t>Быстрый источник/приёмник</t>
        </is>
      </c>
      <c r="I6" s="7" t="inlineStr">
        <is>
          <t>NO</t>
        </is>
      </c>
      <c r="J6" s="7" t="inlineStr">
        <is>
          <t>P2</t>
        </is>
      </c>
      <c r="K6" s="7" t="inlineStr">
        <is>
          <t>https://www.flairmesh.com/Dongle/FMA120.html</t>
        </is>
      </c>
      <c r="L6" s="7" t="inlineStr">
        <is>
          <t>NEEDS QUOTE</t>
        </is>
      </c>
    </row>
    <row r="7">
      <c r="A7" s="7" t="inlineStr">
        <is>
          <t>SCENARIO B — Low-cost demo</t>
        </is>
      </c>
      <c r="B7" s="7" t="inlineStr">
        <is>
          <t>Avantree AuraClip (RC240)</t>
        </is>
      </c>
      <c r="C7" s="7" t="n">
        <v>1</v>
      </c>
      <c r="D7" s="7" t="inlineStr">
        <is>
          <t>EUR</t>
        </is>
      </c>
      <c r="E7" s="7">
        <f>'02_BOM'!J9</f>
        <v/>
      </c>
      <c r="F7" s="8">
        <f>IF(OR(N(D7)=0,N(E7)=0),"",C7*E7)</f>
        <v/>
      </c>
      <c r="G7" s="7" t="inlineStr">
        <is>
          <t>NO</t>
        </is>
      </c>
      <c r="H7" s="7" t="inlineStr">
        <is>
          <t>Приёмник с аналоговым выходом</t>
        </is>
      </c>
      <c r="I7" s="7" t="inlineStr">
        <is>
          <t>NO</t>
        </is>
      </c>
      <c r="J7" s="7" t="inlineStr">
        <is>
          <t>P2</t>
        </is>
      </c>
      <c r="K7" s="7" t="inlineStr">
        <is>
          <t>https://avantree.com/products/auraclip-auracast-receiver</t>
        </is>
      </c>
      <c r="L7" s="7" t="inlineStr">
        <is>
          <t>NOT PURCHASED</t>
        </is>
      </c>
    </row>
    <row r="8">
      <c r="A8" s="7" t="inlineStr">
        <is>
          <t>SCENARIO B — Low-cost demo</t>
        </is>
      </c>
      <c r="B8" s="7" t="inlineStr">
        <is>
          <t>MoerLab MoerLink / DB100</t>
        </is>
      </c>
      <c r="C8" s="7" t="n">
        <v>1</v>
      </c>
      <c r="D8" s="7" t="inlineStr">
        <is>
          <t>USD</t>
        </is>
      </c>
      <c r="E8" s="7">
        <f>'02_BOM'!J10</f>
        <v/>
      </c>
      <c r="F8" s="8">
        <f>IF(OR(N(D8)=0,N(E8)=0),"",C8*E8)</f>
        <v/>
      </c>
      <c r="G8" s="7" t="inlineStr">
        <is>
          <t>NO</t>
        </is>
      </c>
      <c r="H8" s="7" t="inlineStr">
        <is>
          <t>Альтернативный источник</t>
        </is>
      </c>
      <c r="I8" s="7" t="inlineStr">
        <is>
          <t>NO</t>
        </is>
      </c>
      <c r="J8" s="7" t="inlineStr">
        <is>
          <t>P3</t>
        </is>
      </c>
      <c r="K8" s="7" t="inlineStr">
        <is>
          <t>https://www.moor-audio.com/collections/transmitter</t>
        </is>
      </c>
      <c r="L8" s="7" t="inlineStr">
        <is>
          <t>NOT PURCHASED</t>
        </is>
      </c>
    </row>
    <row r="9">
      <c r="A9" s="7" t="inlineStr">
        <is>
          <t>SCENARIO C — Minimum E05 (software)</t>
        </is>
      </c>
      <c r="B9" s="7" t="inlineStr">
        <is>
          <t>PC / laptop</t>
        </is>
      </c>
      <c r="C9" s="7" t="n">
        <v>1</v>
      </c>
      <c r="D9" s="7" t="inlineStr">
        <is>
          <t>USD</t>
        </is>
      </c>
      <c r="E9" s="7">
        <f>'02_BOM'!J6</f>
        <v/>
      </c>
      <c r="F9" s="8">
        <f>IF(OR(N(D9)=0,N(E9)=0),"",C9*E9)</f>
        <v/>
      </c>
      <c r="G9" s="7" t="inlineStr">
        <is>
          <t>YES</t>
        </is>
      </c>
      <c r="H9" s="7" t="inlineStr">
        <is>
          <t>Хостинг ASR и логирование</t>
        </is>
      </c>
      <c r="I9" s="7" t="inlineStr">
        <is>
          <t>NO</t>
        </is>
      </c>
      <c r="J9" s="7" t="inlineStr">
        <is>
          <t>P0</t>
        </is>
      </c>
      <c r="K9" s="7" t="inlineStr">
        <is>
          <t>ASR_COMPARISON_PROTOCOL.md</t>
        </is>
      </c>
      <c r="L9" s="7" t="inlineStr">
        <is>
          <t>EXISTING</t>
        </is>
      </c>
    </row>
    <row r="10">
      <c r="A10" s="7" t="inlineStr">
        <is>
          <t>SCENARIO C — Minimum E05 (software)</t>
        </is>
      </c>
      <c r="B10" s="7" t="inlineStr">
        <is>
          <t>Smartphone for phone-mic arm</t>
        </is>
      </c>
      <c r="C10" s="7" t="n">
        <v>2</v>
      </c>
      <c r="D10" s="7" t="inlineStr">
        <is>
          <t>USD</t>
        </is>
      </c>
      <c r="E10" s="7">
        <f>'02_BOM'!J17</f>
        <v/>
      </c>
      <c r="F10" s="8">
        <f>IF(OR(N(D10)=0,N(E10)=0),"",C10*E10)</f>
        <v/>
      </c>
      <c r="G10" s="7" t="inlineStr">
        <is>
          <t>YES</t>
        </is>
      </c>
      <c r="H10" s="7" t="inlineStr">
        <is>
          <t>Канал PHONE_MIC</t>
        </is>
      </c>
      <c r="I10" s="7" t="inlineStr">
        <is>
          <t>YES</t>
        </is>
      </c>
      <c r="J10" s="7" t="inlineStr">
        <is>
          <t>P1</t>
        </is>
      </c>
      <c r="K10" s="7" t="inlineStr">
        <is>
          <t>ASR_COMPARISON_PROTOCOL.md</t>
        </is>
      </c>
      <c r="L10" s="7" t="inlineStr">
        <is>
          <t>NEEDS QUOTE</t>
        </is>
      </c>
    </row>
    <row r="11">
      <c r="A11" s="7" t="inlineStr">
        <is>
          <t>SCENARIO C — Minimum E05 (software)</t>
        </is>
      </c>
      <c r="B11" s="7" t="inlineStr">
        <is>
          <t>Local ASR software (T-one + GigaAM-v3)</t>
        </is>
      </c>
      <c r="C11" s="7" t="n">
        <v>2</v>
      </c>
      <c r="D11" s="7" t="inlineStr">
        <is>
          <t>USD</t>
        </is>
      </c>
      <c r="E11" s="7">
        <f>'02_BOM'!J19</f>
        <v/>
      </c>
      <c r="F11" s="8">
        <f>IF(OR(N(D11)=0,N(E11)=0),"",C11*E11)</f>
        <v/>
      </c>
      <c r="G11" s="7" t="inlineStr">
        <is>
          <t>YES</t>
        </is>
      </c>
      <c r="H11" s="7" t="inlineStr">
        <is>
          <t>Распознавание и WER</t>
        </is>
      </c>
      <c r="I11" s="7" t="inlineStr">
        <is>
          <t>YES</t>
        </is>
      </c>
      <c r="J11" s="7" t="inlineStr">
        <is>
          <t>P0</t>
        </is>
      </c>
      <c r="K11" s="7" t="inlineStr">
        <is>
          <t>https://github.com/voicekit-team/T-one</t>
        </is>
      </c>
      <c r="L11" s="7" t="inlineStr">
        <is>
          <t>SOURCE PRICE</t>
        </is>
      </c>
    </row>
    <row r="13">
      <c r="B13" s="9" t="inlineStr">
        <is>
          <t>Totals per scenario and currency (formulas)</t>
        </is>
      </c>
    </row>
    <row r="14">
      <c r="B14" t="inlineStr">
        <is>
          <t>SCENARIO A — Research</t>
        </is>
      </c>
      <c r="D14" t="inlineStr">
        <is>
          <t>USD</t>
        </is>
      </c>
      <c r="F14" s="10">
        <f>SUMIFS($F$2:$F$11,$A$2:$A$11,$B14,$D$2:$D$11,"USD")</f>
        <v/>
      </c>
    </row>
    <row r="15">
      <c r="B15" t="inlineStr">
        <is>
          <t>SCENARIO A — Research</t>
        </is>
      </c>
      <c r="D15" t="inlineStr">
        <is>
          <t>EUR</t>
        </is>
      </c>
      <c r="F15" s="10">
        <f>SUMIFS($F$2:$F$11,$A$2:$A$11,$B15,$D$2:$D$11,"EUR")</f>
        <v/>
      </c>
    </row>
    <row r="16">
      <c r="B16" t="inlineStr">
        <is>
          <t>SCENARIO A — Research</t>
        </is>
      </c>
      <c r="D16" t="inlineStr">
        <is>
          <t>RUB</t>
        </is>
      </c>
      <c r="F16" s="10">
        <f>SUMIFS($F$2:$F$11,$A$2:$A$11,$B16,$D$2:$D$11,"RUB")</f>
        <v/>
      </c>
    </row>
    <row r="17">
      <c r="B17" t="inlineStr">
        <is>
          <t>SCENARIO B — Low-cost demo</t>
        </is>
      </c>
      <c r="D17" t="inlineStr">
        <is>
          <t>USD</t>
        </is>
      </c>
      <c r="F17" s="10">
        <f>SUMIFS($F$2:$F$11,$A$2:$A$11,$B17,$D$2:$D$11,"USD")</f>
        <v/>
      </c>
    </row>
    <row r="18">
      <c r="B18" t="inlineStr">
        <is>
          <t>SCENARIO B — Low-cost demo</t>
        </is>
      </c>
      <c r="D18" t="inlineStr">
        <is>
          <t>EUR</t>
        </is>
      </c>
      <c r="F18" s="10">
        <f>SUMIFS($F$2:$F$11,$A$2:$A$11,$B18,$D$2:$D$11,"EUR")</f>
        <v/>
      </c>
    </row>
    <row r="19">
      <c r="B19" t="inlineStr">
        <is>
          <t>SCENARIO B — Low-cost demo</t>
        </is>
      </c>
      <c r="D19" t="inlineStr">
        <is>
          <t>RUB</t>
        </is>
      </c>
      <c r="F19" s="10">
        <f>SUMIFS($F$2:$F$11,$A$2:$A$11,$B19,$D$2:$D$11,"RUB")</f>
        <v/>
      </c>
    </row>
    <row r="20">
      <c r="B20" t="inlineStr">
        <is>
          <t>SCENARIO C — Minimum E05 (software)</t>
        </is>
      </c>
      <c r="D20" t="inlineStr">
        <is>
          <t>USD</t>
        </is>
      </c>
      <c r="F20" s="10">
        <f>SUMIFS($F$2:$F$11,$A$2:$A$11,$B20,$D$2:$D$11,"USD")</f>
        <v/>
      </c>
    </row>
    <row r="21">
      <c r="B21" t="inlineStr">
        <is>
          <t>SCENARIO C — Minimum E05 (software)</t>
        </is>
      </c>
      <c r="D21" t="inlineStr">
        <is>
          <t>EUR</t>
        </is>
      </c>
      <c r="F21" s="10">
        <f>SUMIFS($F$2:$F$11,$A$2:$A$11,$B21,$D$2:$D$11,"EUR")</f>
        <v/>
      </c>
    </row>
    <row r="22">
      <c r="B22" t="inlineStr">
        <is>
          <t>SCENARIO C — Minimum E05 (software)</t>
        </is>
      </c>
      <c r="D22" t="inlineStr">
        <is>
          <t>RUB</t>
        </is>
      </c>
      <c r="F22" s="10">
        <f>SUMIFS($F$2:$F$11,$A$2:$A$11,$B22,$D$2:$D$11,"RUB")</f>
        <v/>
      </c>
    </row>
    <row r="24">
      <c r="B24" s="11" t="inlineStr">
        <is>
          <t>Цены с Price Status = NEEDS QUOTE не входят в суммы (Unit Price пуст).</t>
        </is>
      </c>
    </row>
  </sheetData>
  <autoFilter ref="A1:L11"/>
  <conditionalFormatting sqref="L2:L11">
    <cfRule type="cellIs" priority="1" operator="equal" dxfId="0">
      <formula>"DONE"</formula>
    </cfRule>
    <cfRule type="cellIs" priority="2" operator="equal" dxfId="0">
      <formula>"COMPLETED"</formula>
    </cfRule>
    <cfRule type="cellIs" priority="3" operator="equal" dxfId="0">
      <formula>"IMPLEMENTED_MVP"</formula>
    </cfRule>
    <cfRule type="cellIs" priority="4" operator="equal" dxfId="0">
      <formula>"READY"</formula>
    </cfRule>
    <cfRule type="cellIs" priority="5" operator="equal" dxfId="0">
      <formula>"YES"</formula>
    </cfRule>
    <cfRule type="cellIs" priority="6" operator="equal" dxfId="0">
      <formula>"SOURCE PRICE"</formula>
    </cfRule>
    <cfRule type="cellIs" priority="7" operator="equal" dxfId="1">
      <formula>"CURRENT"</formula>
    </cfRule>
    <cfRule type="cellIs" priority="8" operator="equal" dxfId="1">
      <formula>"READY-ON-HW"</formula>
    </cfRule>
    <cfRule type="cellIs" priority="9" operator="equal" dxfId="1">
      <formula>"PARTIAL"</formula>
    </cfRule>
    <cfRule type="cellIs" priority="10" operator="equal" dxfId="2">
      <formula>"NEXT"</formula>
    </cfRule>
    <cfRule type="cellIs" priority="11" operator="equal" dxfId="2">
      <formula>"PLANNED"</formula>
    </cfRule>
    <cfRule type="cellIs" priority="12" operator="equal" dxfId="2">
      <formula>"PROPOSED"</formula>
    </cfRule>
    <cfRule type="cellIs" priority="13" operator="equal" dxfId="2">
      <formula>"RESEARCH"</formula>
    </cfRule>
    <cfRule type="cellIs" priority="14" operator="equal" dxfId="3">
      <formula>"NEEDS QUOTE"</formula>
    </cfRule>
    <cfRule type="cellIs" priority="15" operator="equal" dxfId="3">
      <formula>"ESTIMATE"</formula>
    </cfRule>
    <cfRule type="cellIs" priority="16" operator="equal" dxfId="4">
      <formula>"FUTURE"</formula>
    </cfRule>
    <cfRule type="cellIs" priority="17" operator="equal" dxfId="4">
      <formula>"UNKNOWN"</formula>
    </cfRule>
    <cfRule type="cellIs" priority="18" operator="equal" dxfId="4">
      <formula>"NOT MEASURED"</formula>
    </cfRule>
    <cfRule type="cellIs" priority="19" operator="equal" dxfId="4">
      <formula>"NOT PURCHASED"</formula>
    </cfRule>
    <cfRule type="cellIs" priority="20" operator="equal" dxfId="4">
      <formula>"NO"</formula>
    </cfRule>
    <cfRule type="cellIs" priority="21" operator="equal" dxfId="4">
      <formula>"LEGACY"</formula>
    </cfRule>
    <cfRule type="cellIs" priority="22" operator="equal" dxfId="5">
      <formula>"HIGH"</formula>
    </cfRule>
  </conditionalFormatting>
  <dataValidations count="4">
    <dataValidation sqref="D2:D11" showDropDown="0" showInputMessage="0" showErrorMessage="0" allowBlank="1" type="list">
      <formula1>"USD,RUB,EUR"</formula1>
    </dataValidation>
    <dataValidation sqref="G2:G11" showDropDown="0" showInputMessage="0" showErrorMessage="0" allowBlank="1" type="list">
      <formula1>"YES,NO"</formula1>
    </dataValidation>
    <dataValidation sqref="J2:J11" showDropDown="0" showInputMessage="0" showErrorMessage="0" allowBlank="1" type="list">
      <formula1>"P0,P1,P2,P3"</formula1>
    </dataValidation>
    <dataValidation sqref="L2:L11" showDropDown="0" showInputMessage="0" showErrorMessage="0" allowBlank="1" type="list">
      <formula1>"NOT PURCHASED,NEEDS QUOTE,SOURCE PRICE,EXISTING,ESTIMATE"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2" customWidth="1" min="4" max="4"/>
    <col width="26" customWidth="1" min="5" max="5"/>
    <col width="24" customWidth="1" min="6" max="6"/>
    <col width="22" customWidth="1" min="7" max="7"/>
    <col width="20" customWidth="1" min="8" max="8"/>
    <col width="20" customWidth="1" min="9" max="9"/>
    <col width="24" customWidth="1" min="10" max="10"/>
    <col width="22" customWidth="1" min="11" max="11"/>
    <col width="18" customWidth="1" min="12" max="12"/>
    <col width="14" customWidth="1" min="13" max="13"/>
    <col width="28" customWidth="1" min="14" max="14"/>
    <col width="14" customWidth="1" min="15" max="15"/>
    <col width="24" customWidth="1" min="16" max="16"/>
    <col width="11" customWidth="1" min="17" max="17"/>
    <col width="11" customWidth="1" min="18" max="18"/>
    <col width="13" customWidth="1" min="19" max="19"/>
    <col width="10" customWidth="1" min="20" max="20"/>
    <col width="30" customWidth="1" min="21" max="21"/>
  </cols>
  <sheetData>
    <row r="1" ht="30" customHeight="1">
      <c r="A1" s="6" t="inlineStr">
        <is>
          <t>Experiment ID</t>
        </is>
      </c>
      <c r="B1" s="6" t="inlineStr">
        <is>
          <t>Title</t>
        </is>
      </c>
      <c r="C1" s="6" t="inlineStr">
        <is>
          <t>Purpose</t>
        </is>
      </c>
      <c r="D1" s="6" t="inlineStr">
        <is>
          <t>Status</t>
        </is>
      </c>
      <c r="E1" s="6" t="inlineStr">
        <is>
          <t>Hardware Required</t>
        </is>
      </c>
      <c r="F1" s="6" t="inlineStr">
        <is>
          <t>Software Required</t>
        </is>
      </c>
      <c r="G1" s="6" t="inlineStr">
        <is>
          <t>Input</t>
        </is>
      </c>
      <c r="H1" s="6" t="inlineStr">
        <is>
          <t>Output</t>
        </is>
      </c>
      <c r="I1" s="6" t="inlineStr">
        <is>
          <t>Primary Metric</t>
        </is>
      </c>
      <c r="J1" s="6" t="inlineStr">
        <is>
          <t>Secondary Metrics</t>
        </is>
      </c>
      <c r="K1" s="6" t="inlineStr">
        <is>
          <t>Independent Variables</t>
        </is>
      </c>
      <c r="L1" s="6" t="inlineStr">
        <is>
          <t>Controlled Variables</t>
        </is>
      </c>
      <c r="M1" s="6" t="inlineStr">
        <is>
          <t>Number of Repetitions</t>
        </is>
      </c>
      <c r="N1" s="6" t="inlineStr">
        <is>
          <t>Acceptance Criterion</t>
        </is>
      </c>
      <c r="O1" s="6" t="inlineStr">
        <is>
          <t>CSV File</t>
        </is>
      </c>
      <c r="P1" s="6" t="inlineStr">
        <is>
          <t>Responsible</t>
        </is>
      </c>
      <c r="Q1" s="6" t="inlineStr">
        <is>
          <t>Planned Date</t>
        </is>
      </c>
      <c r="R1" s="6" t="inlineStr">
        <is>
          <t>Actual Date</t>
        </is>
      </c>
      <c r="S1" s="6" t="inlineStr">
        <is>
          <t>Result Status</t>
        </is>
      </c>
      <c r="T1" s="6" t="inlineStr">
        <is>
          <t>Result</t>
        </is>
      </c>
      <c r="U1" s="6" t="inlineStr">
        <is>
          <t>Notes</t>
        </is>
      </c>
    </row>
    <row r="2">
      <c r="A2" s="7" t="inlineStr">
        <is>
          <t>E01</t>
        </is>
      </c>
      <c r="B2" s="7" t="inlineStr">
        <is>
          <t>Audio latency</t>
        </is>
      </c>
      <c r="C2" s="7" t="inlineStr">
        <is>
          <t>Измерить сквозную задержку аудиотракта</t>
        </is>
      </c>
      <c r="D2" s="7" t="inlineStr">
        <is>
          <t>PLANNED</t>
        </is>
      </c>
      <c r="E2" s="7" t="inlineStr">
        <is>
          <t>2× nRF5340 Audio DK; measurement interface/oscilloscope</t>
        </is>
      </c>
      <c r="F2" s="7" t="inlineStr">
        <is>
          <t>nRF Connect SDK (broadcast source/sink)</t>
        </is>
      </c>
      <c r="G2" s="7" t="inlineStr">
        <is>
          <t>Электрический вход TX (burst/чирп)</t>
        </is>
      </c>
      <c r="H2" s="7" t="inlineStr">
        <is>
          <t>Аналоговый выход RX</t>
        </is>
      </c>
      <c r="I2" s="7" t="inlineStr">
        <is>
          <t>end-to-end latency (mean/median/p95/max)</t>
        </is>
      </c>
      <c r="J2" s="7" t="inlineStr">
        <is>
          <t>jitter; потери; разложение по звеньям</t>
        </is>
      </c>
      <c r="K2" s="7" t="inlineStr">
        <is>
          <t>QoS (16_2_1/16_2_2/24_2_1/24_2_2); PD 20/30/40 мс</t>
        </is>
      </c>
      <c r="L2" s="7" t="inlineStr">
        <is>
          <t>Материал сигнала; условия помещения</t>
        </is>
      </c>
      <c r="M2" s="7" t="inlineStr">
        <is>
          <t>≥100 на конфигурацию</t>
        </is>
      </c>
      <c r="N2" s="7" t="inlineStr">
        <is>
          <t>TARGET ≤60 мс; ≤100 допустимо; &gt;150 — брак</t>
        </is>
      </c>
      <c r="O2" s="7" t="inlineStr">
        <is>
          <t>e01_latency.csv</t>
        </is>
      </c>
      <c r="P2" s="7" t="inlineStr">
        <is>
          <t>Никитин Даниил Константинович</t>
        </is>
      </c>
      <c r="Q2" s="7" t="n"/>
      <c r="R2" s="7" t="n"/>
      <c r="S2" s="7" t="inlineStr">
        <is>
          <t>NOT MEASURED</t>
        </is>
      </c>
      <c r="T2" s="7" t="n"/>
      <c r="U2" s="7" t="inlineStr">
        <is>
          <t>SOURCE POINT = электрический вход TX; END POINT = аналоговый выход RX</t>
        </is>
      </c>
    </row>
    <row r="3">
      <c r="A3" s="7" t="inlineStr">
        <is>
          <t>E03</t>
        </is>
      </c>
      <c r="B3" s="7" t="inlineStr">
        <is>
          <t>Packet stability</t>
        </is>
      </c>
      <c r="C3" s="7" t="inlineStr">
        <is>
          <t>Оценить устойчивость потока во времени</t>
        </is>
      </c>
      <c r="D3" s="7" t="inlineStr">
        <is>
          <t>PLANNED</t>
        </is>
      </c>
      <c r="E3" s="7" t="inlineStr">
        <is>
          <t>Стенд E01</t>
        </is>
      </c>
      <c r="F3" s="7" t="inlineStr">
        <is>
          <t>Логирование</t>
        </is>
      </c>
      <c r="G3" s="7" t="inlineStr">
        <is>
          <t>Непрерывный аудиопоток</t>
        </is>
      </c>
      <c r="H3" s="7" t="inlineStr">
        <is>
          <t>Выход RX + логи</t>
        </is>
      </c>
      <c r="I3" s="7" t="inlineStr">
        <is>
          <t>Разрывы/глитчи/потери</t>
        </is>
      </c>
      <c r="J3" s="7" t="inlineStr">
        <is>
          <t>Длительность без сбоев</t>
        </is>
      </c>
      <c r="K3" s="7" t="inlineStr">
        <is>
          <t>Условия эфира/движение людей</t>
        </is>
      </c>
      <c r="L3" s="7" t="inlineStr">
        <is>
          <t>QoS; дистанция</t>
        </is>
      </c>
      <c r="M3" s="7" t="inlineStr">
        <is>
          <t>≥3 прогона по ≥1 ч</t>
        </is>
      </c>
      <c r="N3" s="7" t="inlineStr">
        <is>
          <t>Нет разрывов в сценарии лекции</t>
        </is>
      </c>
      <c r="O3" s="7" t="inlineStr">
        <is>
          <t>e03_stability.csv</t>
        </is>
      </c>
      <c r="P3" s="7" t="inlineStr">
        <is>
          <t>Никитин Даниил Константинович</t>
        </is>
      </c>
      <c r="Q3" s="7" t="n"/>
      <c r="R3" s="7" t="n"/>
      <c r="S3" s="7" t="inlineStr">
        <is>
          <t>NOT MEASURED</t>
        </is>
      </c>
      <c r="T3" s="7" t="n"/>
      <c r="U3" s="7" t="inlineStr"/>
    </row>
    <row r="4">
      <c r="A4" s="7" t="inlineStr">
        <is>
          <t>E04</t>
        </is>
      </c>
      <c r="B4" s="7" t="inlineStr">
        <is>
          <t>LC3 configuration comparison</t>
        </is>
      </c>
      <c r="C4" s="7" t="inlineStr">
        <is>
          <t>Сравнить конфигурации LC3</t>
        </is>
      </c>
      <c r="D4" s="7" t="inlineStr">
        <is>
          <t>PLANNED</t>
        </is>
      </c>
      <c r="E4" s="7" t="inlineStr">
        <is>
          <t>Стенд E01</t>
        </is>
      </c>
      <c r="F4" s="7" t="inlineStr">
        <is>
          <t>Управление конфигурациями</t>
        </is>
      </c>
      <c r="G4" s="7" t="inlineStr">
        <is>
          <t>Один речевой материал</t>
        </is>
      </c>
      <c r="H4" s="7" t="inlineStr">
        <is>
          <t>Записи выходов + субъективные оценки</t>
        </is>
      </c>
      <c r="I4" s="7" t="inlineStr">
        <is>
          <t>Субъективное/объективное качество</t>
        </is>
      </c>
      <c r="J4" s="7" t="inlineStr">
        <is>
          <t>Latency; airtime; совместимость</t>
        </is>
      </c>
      <c r="K4" s="7" t="inlineStr">
        <is>
          <t>16_2_1;16_2_2;24_2_1;24_2_2;48_2</t>
        </is>
      </c>
      <c r="L4" s="7" t="inlineStr">
        <is>
          <t>Материал; слушатели</t>
        </is>
      </c>
      <c r="M4" s="7" t="inlineStr">
        <is>
          <t>≥3 фрагмента × ≥8 слушателей, слепое сравнение</t>
        </is>
      </c>
      <c r="N4" s="7" t="inlineStr">
        <is>
          <t>Выбранная база проходит и технически, и субъективно</t>
        </is>
      </c>
      <c r="O4" s="7" t="inlineStr">
        <is>
          <t>e04_lc3.csv</t>
        </is>
      </c>
      <c r="P4" s="7" t="inlineStr">
        <is>
          <t>Никитин Даниил Константинович</t>
        </is>
      </c>
      <c r="Q4" s="7" t="n"/>
      <c r="R4" s="7" t="n"/>
      <c r="S4" s="7" t="inlineStr">
        <is>
          <t>NOT MEASURED</t>
        </is>
      </c>
      <c r="T4" s="7" t="n"/>
      <c r="U4" s="7" t="inlineStr">
        <is>
          <t>Baseline 24_2_1 — не победитель, а стартовая гипотеза</t>
        </is>
      </c>
    </row>
    <row r="5">
      <c r="A5" s="7" t="inlineStr">
        <is>
          <t>E05</t>
        </is>
      </c>
      <c r="B5" s="7" t="inlineStr">
        <is>
          <t>Clean-feed vs smartphone ASR</t>
        </is>
      </c>
      <c r="C5" s="7" t="inlineStr">
        <is>
          <t>Сравнить WER/CER на чистом фиде и микрофоне</t>
        </is>
      </c>
      <c r="D5" s="7" t="inlineStr">
        <is>
          <t>PLANNED</t>
        </is>
      </c>
      <c r="E5" s="7" t="inlineStr">
        <is>
          <t>ПК; 2 телефона; clean-feed capture</t>
        </is>
      </c>
      <c r="F5" s="7" t="inlineStr">
        <is>
          <t>T-one; GigaAM-v3 (эталон)</t>
        </is>
      </c>
      <c r="G5" s="7" t="inlineStr">
        <is>
          <t>Синхронная запись CLEAN_FEED и PHONE_MIC</t>
        </is>
      </c>
      <c r="H5" s="7" t="inlineStr">
        <is>
          <t>Транскрипты + метрики</t>
        </is>
      </c>
      <c r="I5" s="7" t="inlineStr">
        <is>
          <t>WER</t>
        </is>
      </c>
      <c r="J5" s="7" t="inlineStr">
        <is>
          <t>CER; caption latency; finalization latency; partial revisions</t>
        </is>
      </c>
      <c r="K5" s="7" t="inlineStr">
        <is>
          <t>Условия A–E; канал</t>
        </is>
      </c>
      <c r="L5" s="7" t="inlineStr">
        <is>
          <t>Материал; модель ASR; параметры декодирования</t>
        </is>
      </c>
      <c r="M5" s="7" t="inlineStr">
        <is>
          <t>≥10 повторов на условие</t>
        </is>
      </c>
      <c r="N5" s="7" t="inlineStr">
        <is>
          <t>Измеримое преимущество clean-feed (или его отсутствие)</t>
        </is>
      </c>
      <c r="O5" s="7" t="inlineStr">
        <is>
          <t>e05_asr.csv</t>
        </is>
      </c>
      <c r="P5" s="7" t="inlineStr">
        <is>
          <t>Никитин Даниил Константинович</t>
        </is>
      </c>
      <c r="Q5" s="7" t="n"/>
      <c r="R5" s="7" t="n"/>
      <c r="S5" s="7" t="inlineStr">
        <is>
          <t>NOT MEASURED</t>
        </is>
      </c>
      <c r="T5" s="7" t="n"/>
      <c r="U5" s="7" t="inlineStr">
        <is>
          <t>См. лист 05_E05_ASR (template)</t>
        </is>
      </c>
    </row>
    <row r="6">
      <c r="A6" s="7" t="inlineStr">
        <is>
          <t>E07</t>
        </is>
      </c>
      <c r="B6" s="7" t="inlineStr">
        <is>
          <t>Bridge-T audio transfer</t>
        </is>
      </c>
      <c r="C6" s="7" t="inlineStr">
        <is>
          <t>Проверить Auracast → индукция → T/MT</t>
        </is>
      </c>
      <c r="D6" s="7" t="inlineStr">
        <is>
          <t>PLANNED</t>
        </is>
      </c>
      <c r="E6" s="7" t="inlineStr">
        <is>
          <t>Auracast sink с аналоговым выходом; neckloop; СА/КИ с T/MT</t>
        </is>
      </c>
      <c r="F6" s="7" t="inlineStr">
        <is>
          <t>Без ПО (аудиотракт)</t>
        </is>
      </c>
      <c r="G6" s="7" t="inlineStr">
        <is>
          <t>Эфир Auracast</t>
        </is>
      </c>
      <c r="H6" s="7" t="inlineStr">
        <is>
          <t>Слышимость/разборчивость в T-режиме</t>
        </is>
      </c>
      <c r="I6" s="7" t="inlineStr">
        <is>
          <t>Уровень/разборчивость (субъективно)</t>
        </is>
      </c>
      <c r="J6" s="7" t="inlineStr">
        <is>
          <t>Гул; влияние расстояния 1–10 см</t>
        </is>
      </c>
      <c r="K6" s="7" t="inlineStr">
        <is>
          <t>Катушка; расстояние; экранирование</t>
        </is>
      </c>
      <c r="L6" s="7" t="inlineStr">
        <is>
          <t>Источник; материал</t>
        </is>
      </c>
      <c r="M6" s="7" t="inlineStr">
        <is>
          <t>≥10 прослушиваний</t>
        </is>
      </c>
      <c r="N6" s="7" t="inlineStr">
        <is>
          <t>Стабильный разборчивый сигнал без гула сверх ожидаемого</t>
        </is>
      </c>
      <c r="O6" s="7" t="inlineStr">
        <is>
          <t>e07_bridge.csv</t>
        </is>
      </c>
      <c r="P6" s="7" t="inlineStr">
        <is>
          <t>Никитин Даниил Константинович</t>
        </is>
      </c>
      <c r="Q6" s="7" t="n"/>
      <c r="R6" s="7" t="n"/>
      <c r="S6" s="7" t="inlineStr">
        <is>
          <t>NOT MEASURED</t>
        </is>
      </c>
      <c r="T6" s="7" t="n"/>
      <c r="U6" s="7" t="inlineStr">
        <is>
          <t>Класс устройств известен (Roger/Auri/Bettear/AuraCoil)</t>
        </is>
      </c>
    </row>
  </sheetData>
  <autoFilter ref="A1:U6"/>
  <conditionalFormatting sqref="D2:D6">
    <cfRule type="cellIs" priority="1" operator="equal" dxfId="0">
      <formula>"DONE"</formula>
    </cfRule>
    <cfRule type="cellIs" priority="2" operator="equal" dxfId="0">
      <formula>"COMPLETED"</formula>
    </cfRule>
    <cfRule type="cellIs" priority="3" operator="equal" dxfId="0">
      <formula>"IMPLEMENTED_MVP"</formula>
    </cfRule>
    <cfRule type="cellIs" priority="4" operator="equal" dxfId="0">
      <formula>"READY"</formula>
    </cfRule>
    <cfRule type="cellIs" priority="5" operator="equal" dxfId="0">
      <formula>"YES"</formula>
    </cfRule>
    <cfRule type="cellIs" priority="6" operator="equal" dxfId="0">
      <formula>"SOURCE PRICE"</formula>
    </cfRule>
    <cfRule type="cellIs" priority="7" operator="equal" dxfId="1">
      <formula>"CURRENT"</formula>
    </cfRule>
    <cfRule type="cellIs" priority="8" operator="equal" dxfId="1">
      <formula>"READY-ON-HW"</formula>
    </cfRule>
    <cfRule type="cellIs" priority="9" operator="equal" dxfId="1">
      <formula>"PARTIAL"</formula>
    </cfRule>
    <cfRule type="cellIs" priority="10" operator="equal" dxfId="2">
      <formula>"NEXT"</formula>
    </cfRule>
    <cfRule type="cellIs" priority="11" operator="equal" dxfId="2">
      <formula>"PLANNED"</formula>
    </cfRule>
    <cfRule type="cellIs" priority="12" operator="equal" dxfId="2">
      <formula>"PROPOSED"</formula>
    </cfRule>
    <cfRule type="cellIs" priority="13" operator="equal" dxfId="2">
      <formula>"RESEARCH"</formula>
    </cfRule>
    <cfRule type="cellIs" priority="14" operator="equal" dxfId="3">
      <formula>"NEEDS QUOTE"</formula>
    </cfRule>
    <cfRule type="cellIs" priority="15" operator="equal" dxfId="3">
      <formula>"ESTIMATE"</formula>
    </cfRule>
    <cfRule type="cellIs" priority="16" operator="equal" dxfId="4">
      <formula>"FUTURE"</formula>
    </cfRule>
    <cfRule type="cellIs" priority="17" operator="equal" dxfId="4">
      <formula>"UNKNOWN"</formula>
    </cfRule>
    <cfRule type="cellIs" priority="18" operator="equal" dxfId="4">
      <formula>"NOT MEASURED"</formula>
    </cfRule>
    <cfRule type="cellIs" priority="19" operator="equal" dxfId="4">
      <formula>"NOT PURCHASED"</formula>
    </cfRule>
    <cfRule type="cellIs" priority="20" operator="equal" dxfId="4">
      <formula>"NO"</formula>
    </cfRule>
    <cfRule type="cellIs" priority="21" operator="equal" dxfId="4">
      <formula>"LEGACY"</formula>
    </cfRule>
    <cfRule type="cellIs" priority="22" operator="equal" dxfId="5">
      <formula>"HIGH"</formula>
    </cfRule>
  </conditionalFormatting>
  <conditionalFormatting sqref="S2:S6">
    <cfRule type="cellIs" priority="23" operator="equal" dxfId="0">
      <formula>"DONE"</formula>
    </cfRule>
    <cfRule type="cellIs" priority="24" operator="equal" dxfId="0">
      <formula>"COMPLETED"</formula>
    </cfRule>
    <cfRule type="cellIs" priority="25" operator="equal" dxfId="0">
      <formula>"IMPLEMENTED_MVP"</formula>
    </cfRule>
    <cfRule type="cellIs" priority="26" operator="equal" dxfId="0">
      <formula>"READY"</formula>
    </cfRule>
    <cfRule type="cellIs" priority="27" operator="equal" dxfId="0">
      <formula>"YES"</formula>
    </cfRule>
    <cfRule type="cellIs" priority="28" operator="equal" dxfId="0">
      <formula>"SOURCE PRICE"</formula>
    </cfRule>
    <cfRule type="cellIs" priority="29" operator="equal" dxfId="1">
      <formula>"CURRENT"</formula>
    </cfRule>
    <cfRule type="cellIs" priority="30" operator="equal" dxfId="1">
      <formula>"READY-ON-HW"</formula>
    </cfRule>
    <cfRule type="cellIs" priority="31" operator="equal" dxfId="1">
      <formula>"PARTIAL"</formula>
    </cfRule>
    <cfRule type="cellIs" priority="32" operator="equal" dxfId="2">
      <formula>"NEXT"</formula>
    </cfRule>
    <cfRule type="cellIs" priority="33" operator="equal" dxfId="2">
      <formula>"PLANNED"</formula>
    </cfRule>
    <cfRule type="cellIs" priority="34" operator="equal" dxfId="2">
      <formula>"PROPOSED"</formula>
    </cfRule>
    <cfRule type="cellIs" priority="35" operator="equal" dxfId="2">
      <formula>"RESEARCH"</formula>
    </cfRule>
    <cfRule type="cellIs" priority="36" operator="equal" dxfId="3">
      <formula>"NEEDS QUOTE"</formula>
    </cfRule>
    <cfRule type="cellIs" priority="37" operator="equal" dxfId="3">
      <formula>"ESTIMATE"</formula>
    </cfRule>
    <cfRule type="cellIs" priority="38" operator="equal" dxfId="4">
      <formula>"FUTURE"</formula>
    </cfRule>
    <cfRule type="cellIs" priority="39" operator="equal" dxfId="4">
      <formula>"UNKNOWN"</formula>
    </cfRule>
    <cfRule type="cellIs" priority="40" operator="equal" dxfId="4">
      <formula>"NOT MEASURED"</formula>
    </cfRule>
    <cfRule type="cellIs" priority="41" operator="equal" dxfId="4">
      <formula>"NOT PURCHASED"</formula>
    </cfRule>
    <cfRule type="cellIs" priority="42" operator="equal" dxfId="4">
      <formula>"NO"</formula>
    </cfRule>
    <cfRule type="cellIs" priority="43" operator="equal" dxfId="4">
      <formula>"LEGACY"</formula>
    </cfRule>
    <cfRule type="cellIs" priority="44" operator="equal" dxfId="5">
      <formula>"HIGH"</formula>
    </cfRule>
  </conditionalFormatting>
  <dataValidations count="2">
    <dataValidation sqref="D2:D6" showDropDown="0" showInputMessage="0" showErrorMessage="0" allowBlank="1" type="list">
      <formula1>"NOT MEASURED,PLANNED,READY,READY-ON-HW,COMPLETED"</formula1>
    </dataValidation>
    <dataValidation sqref="S2:S6" showDropDown="0" showInputMessage="0" showErrorMessage="0" allowBlank="1" type="list">
      <formula1>"NOT MEASURED,PLANNED,READY,READY-ON-HW,COMPLETED"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8" customWidth="1" min="4" max="4"/>
    <col width="16" customWidth="1" min="5" max="5"/>
    <col width="14" customWidth="1" min="6" max="6"/>
    <col width="13" customWidth="1" min="7" max="7"/>
    <col width="16" customWidth="1" min="8" max="8"/>
    <col width="30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0" customWidth="1" min="17" max="17"/>
    <col width="9" customWidth="1" min="18" max="18"/>
    <col width="12" customWidth="1" min="19" max="19"/>
    <col width="13" customWidth="1" min="20" max="20"/>
    <col width="10" customWidth="1" min="21" max="21"/>
    <col width="24" customWidth="1" min="22" max="22"/>
  </cols>
  <sheetData>
    <row r="1" ht="30" customHeight="1">
      <c r="A1" s="6" t="inlineStr">
        <is>
          <t>Trial ID</t>
        </is>
      </c>
      <c r="B1" s="6" t="inlineStr">
        <is>
          <t>Speech Material ID</t>
        </is>
      </c>
      <c r="C1" s="6" t="inlineStr">
        <is>
          <t>Condition</t>
        </is>
      </c>
      <c r="D1" s="6" t="inlineStr">
        <is>
          <t>Distance (m)</t>
        </is>
      </c>
      <c r="E1" s="6" t="inlineStr">
        <is>
          <t>Noise Condition</t>
        </is>
      </c>
      <c r="F1" s="6" t="inlineStr">
        <is>
          <t>Reverberation Condition</t>
        </is>
      </c>
      <c r="G1" s="6" t="inlineStr">
        <is>
          <t>Channel</t>
        </is>
      </c>
      <c r="H1" s="6" t="inlineStr">
        <is>
          <t>ASR Model</t>
        </is>
      </c>
      <c r="I1" s="6" t="inlineStr">
        <is>
          <t>Reference Text</t>
        </is>
      </c>
      <c r="J1" s="6" t="inlineStr">
        <is>
          <t>Recognized Text</t>
        </is>
      </c>
      <c r="K1" s="6" t="inlineStr">
        <is>
          <t>Word Count Reference (N)</t>
        </is>
      </c>
      <c r="L1" s="6" t="inlineStr">
        <is>
          <t>Substitutions (S)</t>
        </is>
      </c>
      <c r="M1" s="6" t="inlineStr">
        <is>
          <t>Deletions (D)</t>
        </is>
      </c>
      <c r="N1" s="6" t="inlineStr">
        <is>
          <t>Insertions (I)</t>
        </is>
      </c>
      <c r="O1" s="6" t="inlineStr">
        <is>
          <t>WER</t>
        </is>
      </c>
      <c r="P1" s="6" t="inlineStr">
        <is>
          <t>Reference Characters</t>
        </is>
      </c>
      <c r="Q1" s="6" t="inlineStr">
        <is>
          <t>Character Errors</t>
        </is>
      </c>
      <c r="R1" s="6" t="inlineStr">
        <is>
          <t>CER</t>
        </is>
      </c>
      <c r="S1" s="6" t="inlineStr">
        <is>
          <t>Caption Start Latency ms</t>
        </is>
      </c>
      <c r="T1" s="6" t="inlineStr">
        <is>
          <t>Finalization Latency ms</t>
        </is>
      </c>
      <c r="U1" s="6" t="inlineStr">
        <is>
          <t>Partial Revisions</t>
        </is>
      </c>
      <c r="V1" s="6" t="inlineStr">
        <is>
          <t>Notes</t>
        </is>
      </c>
    </row>
    <row r="2">
      <c r="A2" s="7" t="inlineStr"/>
      <c r="B2" s="7" t="inlineStr"/>
      <c r="C2" s="7" t="inlineStr">
        <is>
          <t>A quiet / near</t>
        </is>
      </c>
      <c r="D2" s="7" t="n">
        <v>1</v>
      </c>
      <c r="E2" s="7" t="inlineStr">
        <is>
          <t>None</t>
        </is>
      </c>
      <c r="F2" s="7" t="inlineStr">
        <is>
          <t>Low</t>
        </is>
      </c>
      <c r="G2" s="7" t="inlineStr">
        <is>
          <t>CLEAN_FEED</t>
        </is>
      </c>
      <c r="H2" s="7" t="inlineStr"/>
      <c r="I2" s="7" t="inlineStr"/>
      <c r="J2" s="7" t="inlineStr"/>
      <c r="K2" s="7" t="n"/>
      <c r="L2" s="7" t="n"/>
      <c r="M2" s="7" t="n"/>
      <c r="N2" s="7" t="n"/>
      <c r="O2" s="12">
        <f>IFERROR(IF(N(K2)=0,"",(N(K2)+N(L2)+N(M2))/K2),"")</f>
        <v/>
      </c>
      <c r="P2" s="7" t="n"/>
      <c r="Q2" s="7" t="n"/>
      <c r="R2" s="12">
        <f>IFERROR(IF(N(P2)=0,"",N(Q2)/P2),"")</f>
        <v/>
      </c>
      <c r="S2" s="7" t="n"/>
      <c r="T2" s="7" t="n"/>
      <c r="U2" s="7" t="n"/>
      <c r="V2" s="7" t="inlineStr"/>
    </row>
    <row r="3">
      <c r="A3" s="7" t="inlineStr"/>
      <c r="B3" s="7" t="inlineStr"/>
      <c r="C3" s="7" t="inlineStr">
        <is>
          <t>A quiet / near</t>
        </is>
      </c>
      <c r="D3" s="7" t="n">
        <v>1</v>
      </c>
      <c r="E3" s="7" t="inlineStr">
        <is>
          <t>None</t>
        </is>
      </c>
      <c r="F3" s="7" t="inlineStr">
        <is>
          <t>Low</t>
        </is>
      </c>
      <c r="G3" s="7" t="inlineStr">
        <is>
          <t>PHONE_MIC</t>
        </is>
      </c>
      <c r="H3" s="7" t="inlineStr"/>
      <c r="I3" s="7" t="inlineStr"/>
      <c r="J3" s="7" t="inlineStr"/>
      <c r="K3" s="7" t="n"/>
      <c r="L3" s="7" t="n"/>
      <c r="M3" s="7" t="n"/>
      <c r="N3" s="7" t="n"/>
      <c r="O3" s="12">
        <f>IFERROR(IF(N(K3)=0,"",(N(K3)+N(L3)+N(M3))/K3),"")</f>
        <v/>
      </c>
      <c r="P3" s="7" t="n"/>
      <c r="Q3" s="7" t="n"/>
      <c r="R3" s="12">
        <f>IFERROR(IF(N(P3)=0,"",N(Q3)/P3),"")</f>
        <v/>
      </c>
      <c r="S3" s="7" t="n"/>
      <c r="T3" s="7" t="n"/>
      <c r="U3" s="7" t="n"/>
      <c r="V3" s="7" t="inlineStr"/>
    </row>
    <row r="4">
      <c r="A4" s="7" t="inlineStr"/>
      <c r="B4" s="7" t="inlineStr"/>
      <c r="C4" s="7" t="inlineStr">
        <is>
          <t>B far row</t>
        </is>
      </c>
      <c r="D4" s="7" t="inlineStr">
        <is>
          <t>10-20</t>
        </is>
      </c>
      <c r="E4" s="7" t="inlineStr">
        <is>
          <t>None</t>
        </is>
      </c>
      <c r="F4" s="7" t="inlineStr">
        <is>
          <t>Medium</t>
        </is>
      </c>
      <c r="G4" s="7" t="inlineStr">
        <is>
          <t>CLEAN_FEED</t>
        </is>
      </c>
      <c r="H4" s="7" t="inlineStr"/>
      <c r="I4" s="7" t="inlineStr"/>
      <c r="J4" s="7" t="inlineStr"/>
      <c r="K4" s="7" t="n"/>
      <c r="L4" s="7" t="n"/>
      <c r="M4" s="7" t="n"/>
      <c r="N4" s="7" t="n"/>
      <c r="O4" s="12">
        <f>IFERROR(IF(N(K4)=0,"",(N(K4)+N(L4)+N(M4))/K4),"")</f>
        <v/>
      </c>
      <c r="P4" s="7" t="n"/>
      <c r="Q4" s="7" t="n"/>
      <c r="R4" s="12">
        <f>IFERROR(IF(N(P4)=0,"",N(Q4)/P4),"")</f>
        <v/>
      </c>
      <c r="S4" s="7" t="n"/>
      <c r="T4" s="7" t="n"/>
      <c r="U4" s="7" t="n"/>
      <c r="V4" s="7" t="inlineStr"/>
    </row>
    <row r="5">
      <c r="A5" s="7" t="inlineStr"/>
      <c r="B5" s="7" t="inlineStr"/>
      <c r="C5" s="7" t="inlineStr">
        <is>
          <t>B far row</t>
        </is>
      </c>
      <c r="D5" s="7" t="inlineStr">
        <is>
          <t>10-20</t>
        </is>
      </c>
      <c r="E5" s="7" t="inlineStr">
        <is>
          <t>None</t>
        </is>
      </c>
      <c r="F5" s="7" t="inlineStr">
        <is>
          <t>Medium</t>
        </is>
      </c>
      <c r="G5" s="7" t="inlineStr">
        <is>
          <t>PHONE_MIC</t>
        </is>
      </c>
      <c r="H5" s="7" t="inlineStr"/>
      <c r="I5" s="7" t="inlineStr"/>
      <c r="J5" s="7" t="inlineStr"/>
      <c r="K5" s="7" t="n"/>
      <c r="L5" s="7" t="n"/>
      <c r="M5" s="7" t="n"/>
      <c r="N5" s="7" t="n"/>
      <c r="O5" s="12">
        <f>IFERROR(IF(N(K5)=0,"",(N(K5)+N(L5)+N(M5))/K5),"")</f>
        <v/>
      </c>
      <c r="P5" s="7" t="n"/>
      <c r="Q5" s="7" t="n"/>
      <c r="R5" s="12">
        <f>IFERROR(IF(N(P5)=0,"",N(Q5)/P5),"")</f>
        <v/>
      </c>
      <c r="S5" s="7" t="n"/>
      <c r="T5" s="7" t="n"/>
      <c r="U5" s="7" t="n"/>
      <c r="V5" s="7" t="inlineStr"/>
    </row>
    <row r="6">
      <c r="A6" s="7" t="inlineStr"/>
      <c r="B6" s="7" t="inlineStr"/>
      <c r="C6" s="7" t="inlineStr">
        <is>
          <t>C background noise</t>
        </is>
      </c>
      <c r="D6" s="7" t="inlineStr">
        <is>
          <t>5-10</t>
        </is>
      </c>
      <c r="E6" s="7" t="inlineStr">
        <is>
          <t>Recorded hall noise</t>
        </is>
      </c>
      <c r="F6" s="7" t="inlineStr">
        <is>
          <t>Medium</t>
        </is>
      </c>
      <c r="G6" s="7" t="inlineStr">
        <is>
          <t>CLEAN_FEED</t>
        </is>
      </c>
      <c r="H6" s="7" t="inlineStr"/>
      <c r="I6" s="7" t="inlineStr"/>
      <c r="J6" s="7" t="inlineStr"/>
      <c r="K6" s="7" t="n"/>
      <c r="L6" s="7" t="n"/>
      <c r="M6" s="7" t="n"/>
      <c r="N6" s="7" t="n"/>
      <c r="O6" s="12">
        <f>IFERROR(IF(N(K6)=0,"",(N(K6)+N(L6)+N(M6))/K6),"")</f>
        <v/>
      </c>
      <c r="P6" s="7" t="n"/>
      <c r="Q6" s="7" t="n"/>
      <c r="R6" s="12">
        <f>IFERROR(IF(N(P6)=0,"",N(Q6)/P6),"")</f>
        <v/>
      </c>
      <c r="S6" s="7" t="n"/>
      <c r="T6" s="7" t="n"/>
      <c r="U6" s="7" t="n"/>
      <c r="V6" s="7" t="inlineStr"/>
    </row>
    <row r="7">
      <c r="A7" s="7" t="inlineStr"/>
      <c r="B7" s="7" t="inlineStr"/>
      <c r="C7" s="7" t="inlineStr">
        <is>
          <t>C background noise</t>
        </is>
      </c>
      <c r="D7" s="7" t="inlineStr">
        <is>
          <t>5-10</t>
        </is>
      </c>
      <c r="E7" s="7" t="inlineStr">
        <is>
          <t>Recorded hall noise</t>
        </is>
      </c>
      <c r="F7" s="7" t="inlineStr">
        <is>
          <t>Medium</t>
        </is>
      </c>
      <c r="G7" s="7" t="inlineStr">
        <is>
          <t>PHONE_MIC</t>
        </is>
      </c>
      <c r="H7" s="7" t="inlineStr"/>
      <c r="I7" s="7" t="inlineStr"/>
      <c r="J7" s="7" t="inlineStr"/>
      <c r="K7" s="7" t="n"/>
      <c r="L7" s="7" t="n"/>
      <c r="M7" s="7" t="n"/>
      <c r="N7" s="7" t="n"/>
      <c r="O7" s="12">
        <f>IFERROR(IF(N(K7)=0,"",(N(K7)+N(L7)+N(M7))/K7),"")</f>
        <v/>
      </c>
      <c r="P7" s="7" t="n"/>
      <c r="Q7" s="7" t="n"/>
      <c r="R7" s="12">
        <f>IFERROR(IF(N(P7)=0,"",N(Q7)/P7),"")</f>
        <v/>
      </c>
      <c r="S7" s="7" t="n"/>
      <c r="T7" s="7" t="n"/>
      <c r="U7" s="7" t="n"/>
      <c r="V7" s="7" t="inlineStr"/>
    </row>
    <row r="8">
      <c r="A8" s="7" t="inlineStr"/>
      <c r="B8" s="7" t="inlineStr"/>
      <c r="C8" s="7" t="inlineStr">
        <is>
          <t>D reverberation</t>
        </is>
      </c>
      <c r="D8" s="7" t="inlineStr">
        <is>
          <t>5-10</t>
        </is>
      </c>
      <c r="E8" s="7" t="inlineStr">
        <is>
          <t>None</t>
        </is>
      </c>
      <c r="F8" s="7" t="inlineStr">
        <is>
          <t>High</t>
        </is>
      </c>
      <c r="G8" s="7" t="inlineStr">
        <is>
          <t>CLEAN_FEED</t>
        </is>
      </c>
      <c r="H8" s="7" t="inlineStr"/>
      <c r="I8" s="7" t="inlineStr"/>
      <c r="J8" s="7" t="inlineStr"/>
      <c r="K8" s="7" t="n"/>
      <c r="L8" s="7" t="n"/>
      <c r="M8" s="7" t="n"/>
      <c r="N8" s="7" t="n"/>
      <c r="O8" s="12">
        <f>IFERROR(IF(N(K8)=0,"",(N(K8)+N(L8)+N(M8))/K8),"")</f>
        <v/>
      </c>
      <c r="P8" s="7" t="n"/>
      <c r="Q8" s="7" t="n"/>
      <c r="R8" s="12">
        <f>IFERROR(IF(N(P8)=0,"",N(Q8)/P8),"")</f>
        <v/>
      </c>
      <c r="S8" s="7" t="n"/>
      <c r="T8" s="7" t="n"/>
      <c r="U8" s="7" t="n"/>
      <c r="V8" s="7" t="inlineStr"/>
    </row>
    <row r="9">
      <c r="A9" s="7" t="inlineStr"/>
      <c r="B9" s="7" t="inlineStr"/>
      <c r="C9" s="7" t="inlineStr">
        <is>
          <t>D reverberation</t>
        </is>
      </c>
      <c r="D9" s="7" t="inlineStr">
        <is>
          <t>5-10</t>
        </is>
      </c>
      <c r="E9" s="7" t="inlineStr">
        <is>
          <t>None</t>
        </is>
      </c>
      <c r="F9" s="7" t="inlineStr">
        <is>
          <t>High</t>
        </is>
      </c>
      <c r="G9" s="7" t="inlineStr">
        <is>
          <t>PHONE_MIC</t>
        </is>
      </c>
      <c r="H9" s="7" t="inlineStr"/>
      <c r="I9" s="7" t="inlineStr"/>
      <c r="J9" s="7" t="inlineStr"/>
      <c r="K9" s="7" t="n"/>
      <c r="L9" s="7" t="n"/>
      <c r="M9" s="7" t="n"/>
      <c r="N9" s="7" t="n"/>
      <c r="O9" s="12">
        <f>IFERROR(IF(N(K9)=0,"",(N(K9)+N(L9)+N(M9))/K9),"")</f>
        <v/>
      </c>
      <c r="P9" s="7" t="n"/>
      <c r="Q9" s="7" t="n"/>
      <c r="R9" s="12">
        <f>IFERROR(IF(N(P9)=0,"",N(Q9)/P9),"")</f>
        <v/>
      </c>
      <c r="S9" s="7" t="n"/>
      <c r="T9" s="7" t="n"/>
      <c r="U9" s="7" t="n"/>
      <c r="V9" s="7" t="inlineStr"/>
    </row>
    <row r="10">
      <c r="A10" s="7" t="inlineStr"/>
      <c r="B10" s="7" t="inlineStr"/>
      <c r="C10" s="7" t="inlineStr">
        <is>
          <t>E noise + distance</t>
        </is>
      </c>
      <c r="D10" s="7" t="inlineStr">
        <is>
          <t>10-20</t>
        </is>
      </c>
      <c r="E10" s="7" t="inlineStr">
        <is>
          <t>Recorded hall noise</t>
        </is>
      </c>
      <c r="F10" s="7" t="inlineStr">
        <is>
          <t>High</t>
        </is>
      </c>
      <c r="G10" s="7" t="inlineStr">
        <is>
          <t>CLEAN_FEED</t>
        </is>
      </c>
      <c r="H10" s="7" t="inlineStr"/>
      <c r="I10" s="7" t="inlineStr"/>
      <c r="J10" s="7" t="inlineStr"/>
      <c r="K10" s="7" t="n"/>
      <c r="L10" s="7" t="n"/>
      <c r="M10" s="7" t="n"/>
      <c r="N10" s="7" t="n"/>
      <c r="O10" s="12">
        <f>IFERROR(IF(N(K10)=0,"",(N(K10)+N(L10)+N(M10))/K10),"")</f>
        <v/>
      </c>
      <c r="P10" s="7" t="n"/>
      <c r="Q10" s="7" t="n"/>
      <c r="R10" s="12">
        <f>IFERROR(IF(N(P10)=0,"",N(Q10)/P10),"")</f>
        <v/>
      </c>
      <c r="S10" s="7" t="n"/>
      <c r="T10" s="7" t="n"/>
      <c r="U10" s="7" t="n"/>
      <c r="V10" s="7" t="inlineStr"/>
    </row>
    <row r="11">
      <c r="A11" s="7" t="inlineStr"/>
      <c r="B11" s="7" t="inlineStr"/>
      <c r="C11" s="7" t="inlineStr">
        <is>
          <t>E noise + distance</t>
        </is>
      </c>
      <c r="D11" s="7" t="inlineStr">
        <is>
          <t>10-20</t>
        </is>
      </c>
      <c r="E11" s="7" t="inlineStr">
        <is>
          <t>Recorded hall noise</t>
        </is>
      </c>
      <c r="F11" s="7" t="inlineStr">
        <is>
          <t>High</t>
        </is>
      </c>
      <c r="G11" s="7" t="inlineStr">
        <is>
          <t>PHONE_MIC</t>
        </is>
      </c>
      <c r="H11" s="7" t="inlineStr"/>
      <c r="I11" s="7" t="inlineStr"/>
      <c r="J11" s="7" t="inlineStr"/>
      <c r="K11" s="7" t="n"/>
      <c r="L11" s="7" t="n"/>
      <c r="M11" s="7" t="n"/>
      <c r="N11" s="7" t="n"/>
      <c r="O11" s="12">
        <f>IFERROR(IF(N(K11)=0,"",(N(K11)+N(L11)+N(M11))/K11),"")</f>
        <v/>
      </c>
      <c r="P11" s="7" t="n"/>
      <c r="Q11" s="7" t="n"/>
      <c r="R11" s="12">
        <f>IFERROR(IF(N(P11)=0,"",N(Q11)/P11),"")</f>
        <v/>
      </c>
      <c r="S11" s="7" t="n"/>
      <c r="T11" s="7" t="n"/>
      <c r="U11" s="7" t="n"/>
      <c r="V11" s="7" t="inlineStr"/>
    </row>
    <row r="13">
      <c r="A13" s="13" t="inlineStr">
        <is>
          <t>E05 — условия и справочные данные</t>
        </is>
      </c>
    </row>
    <row r="14">
      <c r="A14" s="14" t="inlineStr">
        <is>
          <t>Условия</t>
        </is>
      </c>
      <c r="C14" s="15" t="inlineStr">
        <is>
          <t>A quiet/near; B far row; C background noise; D reverberation; E noise+distance</t>
        </is>
      </c>
    </row>
    <row r="15">
      <c r="A15" s="14" t="inlineStr">
        <is>
          <t>Каналы</t>
        </is>
      </c>
      <c r="C15" s="15" t="inlineStr">
        <is>
          <t>CLEAN_FEED; PHONE_MIC</t>
        </is>
      </c>
    </row>
    <row r="16">
      <c r="A16" s="14" t="inlineStr">
        <is>
          <t>ASR модели</t>
        </is>
      </c>
      <c r="C16" s="15" t="inlineStr">
        <is>
          <t>T-one (RECOMMENDED, не установлена); GigaAM-v3 RNNT (batch reference); faster-whisper; Vosk</t>
        </is>
      </c>
    </row>
    <row r="17">
      <c r="A17" s="14" t="inlineStr">
        <is>
          <t>WER формула</t>
        </is>
      </c>
      <c r="C17" s="15" t="inlineStr">
        <is>
          <t>(S + D + I) / N; пусто при N = 0</t>
        </is>
      </c>
    </row>
    <row r="18">
      <c r="A18" s="14" t="inlineStr">
        <is>
          <t>CER формула</t>
        </is>
      </c>
      <c r="C18" s="15" t="inlineStr">
        <is>
          <t>Character Errors / Reference Characters; пусто при 0</t>
        </is>
      </c>
    </row>
    <row r="19">
      <c r="A19" s="14" t="inlineStr">
        <is>
          <t>Статус</t>
        </is>
      </c>
      <c r="C19" s="15" t="inlineStr">
        <is>
          <t>Все измерения = NOT MEASURED; заполняется после эксперимента</t>
        </is>
      </c>
    </row>
  </sheetData>
  <autoFilter ref="A1:V11"/>
  <dataValidations count="3">
    <dataValidation sqref="C2:C11" showDropDown="0" showInputMessage="0" showErrorMessage="0" allowBlank="1" type="list">
      <formula1>"A quiet / near,B far row,C background noise,D reverberation,E noise + distance"</formula1>
    </dataValidation>
    <dataValidation sqref="G2:G11" showDropDown="0" showInputMessage="0" showErrorMessage="0" allowBlank="1" type="list">
      <formula1>"CLEAN_FEED,PHONE_MIC"</formula1>
    </dataValidation>
    <dataValidation sqref="H2:H11" showDropDown="0" showInputMessage="0" showErrorMessage="0" allowBlank="1" type="list">
      <formula1>"T-one,GigaAM-v3 RNNT,faster-whisper,Vosk"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44" customWidth="1" min="3" max="3"/>
    <col width="44" customWidth="1" min="4" max="4"/>
    <col width="12" customWidth="1" min="5" max="5"/>
    <col width="9" customWidth="1" min="6" max="6"/>
    <col width="10" customWidth="1" min="7" max="7"/>
    <col width="40" customWidth="1" min="8" max="8"/>
    <col width="30" customWidth="1" min="9" max="9"/>
    <col width="22" customWidth="1" min="10" max="10"/>
    <col width="10" customWidth="1" min="11" max="11"/>
    <col width="18" customWidth="1" min="12" max="12"/>
  </cols>
  <sheetData>
    <row r="1" ht="30" customHeight="1">
      <c r="A1" s="6" t="inlineStr">
        <is>
          <t>Risk ID</t>
        </is>
      </c>
      <c r="B1" s="6" t="inlineStr">
        <is>
          <t>Category</t>
        </is>
      </c>
      <c r="C1" s="6" t="inlineStr">
        <is>
          <t>Risk</t>
        </is>
      </c>
      <c r="D1" s="6" t="inlineStr">
        <is>
          <t>Evidence</t>
        </is>
      </c>
      <c r="E1" s="6" t="inlineStr">
        <is>
          <t>Probability</t>
        </is>
      </c>
      <c r="F1" s="6" t="inlineStr">
        <is>
          <t>Impact</t>
        </is>
      </c>
      <c r="G1" s="6" t="inlineStr">
        <is>
          <t>Priority</t>
        </is>
      </c>
      <c r="H1" s="6" t="inlineStr">
        <is>
          <t>Mitigation</t>
        </is>
      </c>
      <c r="I1" s="6" t="inlineStr">
        <is>
          <t>Trigger</t>
        </is>
      </c>
      <c r="J1" s="6" t="inlineStr">
        <is>
          <t>Owner</t>
        </is>
      </c>
      <c r="K1" s="6" t="inlineStr">
        <is>
          <t>Status</t>
        </is>
      </c>
      <c r="L1" s="6" t="inlineStr">
        <is>
          <t>Source</t>
        </is>
      </c>
    </row>
    <row r="2">
      <c r="A2" s="7" t="inlineStr">
        <is>
          <t>R-01</t>
        </is>
      </c>
      <c r="B2" s="7" t="inlineStr">
        <is>
          <t>Novelty</t>
        </is>
      </c>
      <c r="C2" s="7" t="inlineStr">
        <is>
          <t>Roger NeckLoop уже реализует clean-feed → STT (prior art)</t>
        </is>
      </c>
      <c r="D2" s="7" t="inlineStr">
        <is>
          <t>Phonak STT guide V1.00/2021-04; product FAQ</t>
        </is>
      </c>
      <c r="E2" s="7" t="inlineStr">
        <is>
          <t>HIGH</t>
        </is>
      </c>
      <c r="F2" s="7" t="inlineStr">
        <is>
          <t>HIGH</t>
        </is>
      </c>
      <c r="G2" s="7">
        <f>IF(OR(E2="HIGH",F2="HIGH"),"CRITICAL",IF(OR(E2="MEDIUM",F2="MEDIUM"),"MEDIUM","LOW"))</f>
        <v/>
      </c>
      <c r="H2" s="7" t="inlineStr">
        <is>
          <t>Не заявлять clean-feed как новизну; сместить отличие в системный слой</t>
        </is>
      </c>
      <c r="I2" s="7" t="inlineStr">
        <is>
          <t>Попытка позиционировать clean-feed как новизну</t>
        </is>
      </c>
      <c r="J2" s="7" t="inlineStr">
        <is>
          <t>Никитин Даниил Константинович</t>
        </is>
      </c>
      <c r="K2" s="7" t="inlineStr">
        <is>
          <t>OPEN</t>
        </is>
      </c>
      <c r="L2" s="7" t="inlineStr">
        <is>
          <t>AR-01</t>
        </is>
      </c>
    </row>
    <row r="3">
      <c r="A3" s="7" t="inlineStr">
        <is>
          <t>R-02</t>
        </is>
      </c>
      <c r="B3" s="7" t="inlineStr">
        <is>
          <t>Novelty</t>
        </is>
      </c>
      <c r="C3" s="7" t="inlineStr">
        <is>
          <t>Bridge-T — известный класс устройств</t>
        </is>
      </c>
      <c r="D3" s="7" t="inlineStr">
        <is>
          <t>Roger MyLink/NeckLoop, Auri RX1, Bettear RTX, AuraCoil</t>
        </is>
      </c>
      <c r="E3" s="7" t="inlineStr">
        <is>
          <t>HIGH</t>
        </is>
      </c>
      <c r="F3" s="7" t="inlineStr">
        <is>
          <t>HIGH</t>
        </is>
      </c>
      <c r="G3" s="7">
        <f>IF(OR(E3="HIGH",F3="HIGH"),"CRITICAL",IF(OR(E3="MEDIUM",F3="MEDIUM"),"MEDIUM","LOW"))</f>
        <v/>
      </c>
      <c r="H3" s="7" t="inlineStr">
        <is>
          <t>Исследовать только конкретные технические отличия</t>
        </is>
      </c>
      <c r="I3" s="7" t="inlineStr">
        <is>
          <t>Патентная заявка на класс</t>
        </is>
      </c>
      <c r="J3" s="7" t="inlineStr">
        <is>
          <t>Никитин Даниил Константинович</t>
        </is>
      </c>
      <c r="K3" s="7" t="inlineStr">
        <is>
          <t>OPEN</t>
        </is>
      </c>
      <c r="L3" s="7" t="inlineStr">
        <is>
          <t>AR-02</t>
        </is>
      </c>
    </row>
    <row r="4">
      <c r="A4" s="7" t="inlineStr">
        <is>
          <t>R-03</t>
        </is>
      </c>
      <c r="B4" s="7" t="inlineStr">
        <is>
          <t>Competition</t>
        </is>
      </c>
      <c r="C4" s="7" t="inlineStr">
        <is>
          <t>Bettear/HearAura уже соединяют аудио и текст</t>
        </is>
      </c>
      <c r="D4" s="7" t="inlineStr">
        <is>
          <t>vendor sites; COMPETITOR_MATRIX</t>
        </is>
      </c>
      <c r="E4" s="7" t="inlineStr">
        <is>
          <t>MEDIUM</t>
        </is>
      </c>
      <c r="F4" s="7" t="inlineStr">
        <is>
          <t>HIGH</t>
        </is>
      </c>
      <c r="G4" s="7">
        <f>IF(OR(E4="HIGH",F4="HIGH"),"CRITICAL",IF(OR(E4="MEDIUM",F4="MEDIUM"),"MEDIUM","LOW"))</f>
        <v/>
      </c>
      <c r="H4" s="7" t="inlineStr">
        <is>
          <t>Дифференциация: сессия, общий таймлайн, missed speech</t>
        </is>
      </c>
      <c r="I4" s="7" t="inlineStr">
        <is>
          <t>Конкурент выпускает аналог</t>
        </is>
      </c>
      <c r="J4" s="7" t="inlineStr">
        <is>
          <t>Никитин Даниил Константинович</t>
        </is>
      </c>
      <c r="K4" s="7" t="inlineStr">
        <is>
          <t>OPEN</t>
        </is>
      </c>
      <c r="L4" s="7" t="inlineStr">
        <is>
          <t>AR-08</t>
        </is>
      </c>
    </row>
    <row r="5">
      <c r="A5" s="7" t="inlineStr">
        <is>
          <t>R-04</t>
        </is>
      </c>
      <c r="B5" s="7" t="inlineStr">
        <is>
          <t>Novelty</t>
        </is>
      </c>
      <c r="C5" s="7" t="inlineStr">
        <is>
          <t>Missed Speech имеет предшественников</t>
        </is>
      </c>
      <c r="D5" s="7" t="inlineStr">
        <is>
          <t>US20090076804 (Bionica, 2007); Apple TV/Roku</t>
        </is>
      </c>
      <c r="E5" s="7" t="inlineStr">
        <is>
          <t>MEDIUM</t>
        </is>
      </c>
      <c r="F5" s="7" t="inlineStr">
        <is>
          <t>MEDIUM</t>
        </is>
      </c>
      <c r="G5" s="7">
        <f>IF(OR(E5="HIGH",F5="HIGH"),"CRITICAL",IF(OR(E5="MEDIUM",F5="MEDIUM"),"MEDIUM","LOW"))</f>
        <v/>
      </c>
      <c r="H5" s="7" t="inlineStr">
        <is>
          <t>Позиционировать как UX-дифференциатор, не патент</t>
        </is>
      </c>
      <c r="I5" s="7" t="inlineStr">
        <is>
          <t>Патентная заявка на механику</t>
        </is>
      </c>
      <c r="J5" s="7" t="inlineStr">
        <is>
          <t>Никитин Даниил Константинович</t>
        </is>
      </c>
      <c r="K5" s="7" t="inlineStr">
        <is>
          <t>OPEN</t>
        </is>
      </c>
      <c r="L5" s="7" t="inlineStr">
        <is>
          <t>AR-09</t>
        </is>
      </c>
    </row>
    <row r="6">
      <c r="A6" s="7" t="inlineStr">
        <is>
          <t>R-05</t>
        </is>
      </c>
      <c r="B6" s="7" t="inlineStr">
        <is>
          <t>Legal</t>
        </is>
      </c>
      <c r="C6" s="7" t="inlineStr">
        <is>
          <t>Неполный патентный поиск</t>
        </is>
      </c>
      <c r="D6" s="7" t="inlineStr">
        <is>
          <t>Google Patents частично недоступен; 18-мес. лаг; Espacenet/USPTO недоступны</t>
        </is>
      </c>
      <c r="E6" s="7" t="inlineStr">
        <is>
          <t>HIGH</t>
        </is>
      </c>
      <c r="F6" s="7" t="inlineStr">
        <is>
          <t>HIGH</t>
        </is>
      </c>
      <c r="G6" s="7">
        <f>IF(OR(E6="HIGH",F6="HIGH"),"CRITICAL",IF(OR(E6="MEDIUM",F6="MEDIUM"),"MEDIUM","LOW"))</f>
        <v/>
      </c>
      <c r="H6" s="7" t="inlineStr">
        <is>
          <t>Профессиональный поиск (GATE 7) до любых заявлений</t>
        </is>
      </c>
      <c r="I6" s="7" t="inlineStr">
        <is>
          <t>Подача заявки без поиска</t>
        </is>
      </c>
      <c r="J6" s="7" t="inlineStr">
        <is>
          <t>Никитин Даниил Константинович</t>
        </is>
      </c>
      <c r="K6" s="7" t="inlineStr">
        <is>
          <t>OPEN</t>
        </is>
      </c>
      <c r="L6" s="7" t="inlineStr">
        <is>
          <t>RED TEAM RT-07</t>
        </is>
      </c>
    </row>
    <row r="7">
      <c r="A7" s="7" t="inlineStr">
        <is>
          <t>R-06</t>
        </is>
      </c>
      <c r="B7" s="7" t="inlineStr">
        <is>
          <t>Market</t>
        </is>
      </c>
      <c r="C7" s="7" t="inlineStr">
        <is>
          <t>Малый установленный парк Auracast-устройств СА/КИ</t>
        </is>
      </c>
      <c r="D7" s="7" t="inlineStr">
        <is>
          <t>DEVICE_COMPATIBILITY_MATRIX; Phonak: «very few hearing devices support Auracast»</t>
        </is>
      </c>
      <c r="E7" s="7" t="inlineStr">
        <is>
          <t>HIGH</t>
        </is>
      </c>
      <c r="F7" s="7" t="inlineStr">
        <is>
          <t>HIGH</t>
        </is>
      </c>
      <c r="G7" s="7">
        <f>IF(OR(E7="HIGH",F7="HIGH"),"CRITICAL",IF(OR(E7="MEDIUM",F7="MEDIUM"),"MEDIUM","LOW"))</f>
        <v/>
      </c>
      <c r="H7" s="7" t="inlineStr">
        <is>
          <t>Bridge-T для T/MT; text-only путь</t>
        </is>
      </c>
      <c r="I7" s="7" t="inlineStr">
        <is>
          <t>Массовое развёртывание без совместимости</t>
        </is>
      </c>
      <c r="J7" s="7" t="inlineStr">
        <is>
          <t>Никитин Даниил Константинович</t>
        </is>
      </c>
      <c r="K7" s="7" t="inlineStr">
        <is>
          <t>OPEN</t>
        </is>
      </c>
      <c r="L7" s="7" t="inlineStr">
        <is>
          <t>AR-03</t>
        </is>
      </c>
    </row>
    <row r="8">
      <c r="A8" s="7" t="inlineStr">
        <is>
          <t>R-07</t>
        </is>
      </c>
      <c r="B8" s="7" t="inlineStr">
        <is>
          <t>Technical</t>
        </is>
      </c>
      <c r="C8" s="7" t="inlineStr">
        <is>
          <t>Фрагментация совместимости Auracast</t>
        </is>
      </c>
      <c r="D8" s="7" t="inlineStr">
        <is>
          <t>DEVICE_COMPATIBILITY_MATRIX; vendor statements</t>
        </is>
      </c>
      <c r="E8" s="7" t="inlineStr">
        <is>
          <t>MEDIUM</t>
        </is>
      </c>
      <c r="F8" s="7" t="inlineStr">
        <is>
          <t>HIGH</t>
        </is>
      </c>
      <c r="G8" s="7">
        <f>IF(OR(E8="HIGH",F8="HIGH"),"CRITICAL",IF(OR(E8="MEDIUM",F8="MEDIUM"),"MEDIUM","LOW"))</f>
        <v/>
      </c>
      <c r="H8" s="7" t="inlineStr">
        <is>
          <t>Матрица совместимости; тесты E02/E04</t>
        </is>
      </c>
      <c r="I8" s="7" t="inlineStr">
        <is>
          <t>Несовместимость на пилоте</t>
        </is>
      </c>
      <c r="J8" s="7" t="inlineStr">
        <is>
          <t>Никитин Даниил Константинович</t>
        </is>
      </c>
      <c r="K8" s="7" t="inlineStr">
        <is>
          <t>OPEN</t>
        </is>
      </c>
      <c r="L8" s="7" t="inlineStr">
        <is>
          <t>AR-05</t>
        </is>
      </c>
    </row>
    <row r="9">
      <c r="A9" s="7" t="inlineStr">
        <is>
          <t>R-08</t>
        </is>
      </c>
      <c r="B9" s="7" t="inlineStr">
        <is>
          <t>Methodology</t>
        </is>
      </c>
      <c r="C9" s="7" t="inlineStr">
        <is>
          <t>Смешение TARGET и RESULT</t>
        </is>
      </c>
      <c r="D9" s="7" t="inlineStr">
        <is>
          <t>LATENCY_DEEP_DIVE; legacy «≤300 мс»</t>
        </is>
      </c>
      <c r="E9" s="7" t="inlineStr">
        <is>
          <t>MEDIUM</t>
        </is>
      </c>
      <c r="F9" s="7" t="inlineStr">
        <is>
          <t>MEDIUM</t>
        </is>
      </c>
      <c r="G9" s="7">
        <f>IF(OR(E9="HIGH",F9="HIGH"),"CRITICAL",IF(OR(E9="MEDIUM",F9="MEDIUM"),"MEDIUM","LOW"))</f>
        <v/>
      </c>
      <c r="H9" s="7" t="inlineStr">
        <is>
          <t>Явные маркеры TARGET/ACCEPTANCE; NOT MEASURED в отчётах</t>
        </is>
      </c>
      <c r="I9" s="7" t="inlineStr">
        <is>
          <t>Публикация целевых значений как результатов</t>
        </is>
      </c>
      <c r="J9" s="7" t="inlineStr">
        <is>
          <t>Никитин Даниил Константинович</t>
        </is>
      </c>
      <c r="K9" s="7" t="inlineStr">
        <is>
          <t>OPEN</t>
        </is>
      </c>
      <c r="L9" s="7" t="inlineStr">
        <is>
          <t>AR-06</t>
        </is>
      </c>
    </row>
    <row r="10">
      <c r="A10" s="7" t="inlineStr">
        <is>
          <t>R-09</t>
        </is>
      </c>
      <c r="B10" s="7" t="inlineStr">
        <is>
          <t>Technical</t>
        </is>
      </c>
      <c r="C10" s="7" t="inlineStr">
        <is>
          <t>Нет собственных аппаратных измерений</t>
        </is>
      </c>
      <c r="D10" s="7" t="inlineStr">
        <is>
          <t>EXPERIMENT_READINESS_GATE6: E01/E03/E04/E07 не выполнены</t>
        </is>
      </c>
      <c r="E10" s="7" t="inlineStr">
        <is>
          <t>HIGH</t>
        </is>
      </c>
      <c r="F10" s="7" t="inlineStr">
        <is>
          <t>MEDIUM</t>
        </is>
      </c>
      <c r="G10" s="7">
        <f>IF(OR(E10="HIGH",F10="HIGH"),"CRITICAL",IF(OR(E10="MEDIUM",F10="MEDIUM"),"MEDIUM","LOW"))</f>
        <v/>
      </c>
      <c r="H10" s="7" t="inlineStr">
        <is>
          <t>Провести E01/E03/E04/E07 после закупки стенда</t>
        </is>
      </c>
      <c r="I10" s="7" t="inlineStr">
        <is>
          <t>Заявления без измерений</t>
        </is>
      </c>
      <c r="J10" s="7" t="inlineStr">
        <is>
          <t>Никитин Даниил Константинович</t>
        </is>
      </c>
      <c r="K10" s="7" t="inlineStr">
        <is>
          <t>OPEN</t>
        </is>
      </c>
      <c r="L10" s="7" t="inlineStr">
        <is>
          <t>PROJECT_STATE</t>
        </is>
      </c>
    </row>
    <row r="11">
      <c r="A11" s="7" t="inlineStr">
        <is>
          <t>R-10</t>
        </is>
      </c>
      <c r="B11" s="7" t="inlineStr">
        <is>
          <t>Dependency</t>
        </is>
      </c>
      <c r="C11" s="7" t="inlineStr">
        <is>
          <t>Зависимость от совместимого приёмного оборудования</t>
        </is>
      </c>
      <c r="D11" s="7" t="inlineStr">
        <is>
          <t>DEVICE_COMPATIBILITY_MATRIX; special receiver required</t>
        </is>
      </c>
      <c r="E11" s="7" t="inlineStr">
        <is>
          <t>MEDIUM</t>
        </is>
      </c>
      <c r="F11" s="7" t="inlineStr">
        <is>
          <t>HIGH</t>
        </is>
      </c>
      <c r="G11" s="7">
        <f>IF(OR(E11="HIGH",F11="HIGH"),"CRITICAL",IF(OR(E11="MEDIUM",F11="MEDIUM"),"MEDIUM","LOW"))</f>
        <v/>
      </c>
      <c r="H11" s="7" t="inlineStr">
        <is>
          <t>Прямой Auracast + Bridge-T + text-only; заёмные приёмники для пилота</t>
        </is>
      </c>
      <c r="I11" s="7" t="inlineStr">
        <is>
          <t>Отсутствие устройств у участников</t>
        </is>
      </c>
      <c r="J11" s="7" t="inlineStr">
        <is>
          <t>Никитин Даниил Константинович</t>
        </is>
      </c>
      <c r="K11" s="7" t="inlineStr">
        <is>
          <t>OPEN</t>
        </is>
      </c>
      <c r="L11" s="7" t="inlineStr">
        <is>
          <t>AR-14</t>
        </is>
      </c>
    </row>
    <row r="12">
      <c r="A12" s="7" t="inlineStr">
        <is>
          <t>R-11</t>
        </is>
      </c>
      <c r="B12" s="7" t="inlineStr">
        <is>
          <t>Privacy</t>
        </is>
      </c>
      <c r="C12" s="7" t="inlineStr">
        <is>
          <t>Обработка речи и персональных данных</t>
        </is>
      </c>
      <c r="D12" s="7" t="inlineStr">
        <is>
          <t>PRIVACY_REQUIREMENTS</t>
        </is>
      </c>
      <c r="E12" s="7" t="inlineStr">
        <is>
          <t>MEDIUM</t>
        </is>
      </c>
      <c r="F12" s="7" t="inlineStr">
        <is>
          <t>HIGH</t>
        </is>
      </c>
      <c r="G12" s="7">
        <f>IF(OR(E12="HIGH",F12="HIGH"),"CRITICAL",IF(OR(E12="MEDIUM",F12="MEDIUM"),"MEDIUM","LOW"))</f>
        <v/>
      </c>
      <c r="H12" s="7" t="inlineStr">
        <is>
          <t>privacy-by-default; без хранения аудио; политика ретенции</t>
        </is>
      </c>
      <c r="I12" s="7" t="inlineStr">
        <is>
          <t>Пилот без процедуры согласия</t>
        </is>
      </c>
      <c r="J12" s="7" t="inlineStr">
        <is>
          <t>Никитин Даниил Константинович</t>
        </is>
      </c>
      <c r="K12" s="7" t="inlineStr">
        <is>
          <t>OPEN</t>
        </is>
      </c>
      <c r="L12" s="7" t="inlineStr">
        <is>
          <t>PRIVACY_REQUIREMENTS</t>
        </is>
      </c>
    </row>
    <row r="13">
      <c r="A13" s="7" t="inlineStr">
        <is>
          <t>R-12</t>
        </is>
      </c>
      <c r="B13" s="7" t="inlineStr">
        <is>
          <t>Operational</t>
        </is>
      </c>
      <c r="C13" s="7" t="inlineStr">
        <is>
          <t>Hardware не закуплен, сроки поставки</t>
        </is>
      </c>
      <c r="D13" s="7" t="inlineStr">
        <is>
          <t>PURCHASE_DECISION; availability notes</t>
        </is>
      </c>
      <c r="E13" s="7" t="inlineStr">
        <is>
          <t>MEDIUM</t>
        </is>
      </c>
      <c r="F13" s="7" t="inlineStr">
        <is>
          <t>MEDIUM</t>
        </is>
      </c>
      <c r="G13" s="7">
        <f>IF(OR(E13="HIGH",F13="HIGH"),"CRITICAL",IF(OR(E13="MEDIUM",F13="MEDIUM"),"MEDIUM","LOW"))</f>
        <v/>
      </c>
      <c r="H13" s="7" t="inlineStr">
        <is>
          <t>Закупка по решению руководителя; low-cost альтернатива</t>
        </is>
      </c>
      <c r="I13" s="7" t="inlineStr">
        <is>
          <t>Задержка поставки</t>
        </is>
      </c>
      <c r="J13" s="7" t="inlineStr">
        <is>
          <t>Никитин Даниил Константинович</t>
        </is>
      </c>
      <c r="K13" s="7" t="inlineStr">
        <is>
          <t>OPEN</t>
        </is>
      </c>
      <c r="L13" s="7" t="inlineStr">
        <is>
          <t>PURCHASE_DECISION</t>
        </is>
      </c>
    </row>
  </sheetData>
  <autoFilter ref="A1:L13"/>
  <conditionalFormatting sqref="E2:F13">
    <cfRule type="cellIs" priority="1" operator="equal" dxfId="0">
      <formula>"DONE"</formula>
    </cfRule>
    <cfRule type="cellIs" priority="2" operator="equal" dxfId="0">
      <formula>"COMPLETED"</formula>
    </cfRule>
    <cfRule type="cellIs" priority="3" operator="equal" dxfId="0">
      <formula>"IMPLEMENTED_MVP"</formula>
    </cfRule>
    <cfRule type="cellIs" priority="4" operator="equal" dxfId="0">
      <formula>"READY"</formula>
    </cfRule>
    <cfRule type="cellIs" priority="5" operator="equal" dxfId="0">
      <formula>"YES"</formula>
    </cfRule>
    <cfRule type="cellIs" priority="6" operator="equal" dxfId="0">
      <formula>"SOURCE PRICE"</formula>
    </cfRule>
    <cfRule type="cellIs" priority="7" operator="equal" dxfId="1">
      <formula>"CURRENT"</formula>
    </cfRule>
    <cfRule type="cellIs" priority="8" operator="equal" dxfId="1">
      <formula>"READY-ON-HW"</formula>
    </cfRule>
    <cfRule type="cellIs" priority="9" operator="equal" dxfId="1">
      <formula>"PARTIAL"</formula>
    </cfRule>
    <cfRule type="cellIs" priority="10" operator="equal" dxfId="2">
      <formula>"NEXT"</formula>
    </cfRule>
    <cfRule type="cellIs" priority="11" operator="equal" dxfId="2">
      <formula>"PLANNED"</formula>
    </cfRule>
    <cfRule type="cellIs" priority="12" operator="equal" dxfId="2">
      <formula>"PROPOSED"</formula>
    </cfRule>
    <cfRule type="cellIs" priority="13" operator="equal" dxfId="2">
      <formula>"RESEARCH"</formula>
    </cfRule>
    <cfRule type="cellIs" priority="14" operator="equal" dxfId="3">
      <formula>"NEEDS QUOTE"</formula>
    </cfRule>
    <cfRule type="cellIs" priority="15" operator="equal" dxfId="3">
      <formula>"ESTIMATE"</formula>
    </cfRule>
    <cfRule type="cellIs" priority="16" operator="equal" dxfId="4">
      <formula>"FUTURE"</formula>
    </cfRule>
    <cfRule type="cellIs" priority="17" operator="equal" dxfId="4">
      <formula>"UNKNOWN"</formula>
    </cfRule>
    <cfRule type="cellIs" priority="18" operator="equal" dxfId="4">
      <formula>"NOT MEASURED"</formula>
    </cfRule>
    <cfRule type="cellIs" priority="19" operator="equal" dxfId="4">
      <formula>"NOT PURCHASED"</formula>
    </cfRule>
    <cfRule type="cellIs" priority="20" operator="equal" dxfId="4">
      <formula>"NO"</formula>
    </cfRule>
    <cfRule type="cellIs" priority="21" operator="equal" dxfId="4">
      <formula>"LEGACY"</formula>
    </cfRule>
    <cfRule type="cellIs" priority="22" operator="equal" dxfId="5">
      <formula>"HIGH"</formula>
    </cfRule>
  </conditionalFormatting>
  <dataValidations count="3">
    <dataValidation sqref="E2:E13" showDropDown="0" showInputMessage="0" showErrorMessage="0" allowBlank="1" type="list">
      <formula1>"LOW,MEDIUM,HIGH"</formula1>
    </dataValidation>
    <dataValidation sqref="F2:F13" showDropDown="0" showInputMessage="0" showErrorMessage="0" allowBlank="1" type="list">
      <formula1>"LOW,MEDIUM,HIGH"</formula1>
    </dataValidation>
    <dataValidation sqref="K2:K13" showDropDown="0" showInputMessage="0" showErrorMessage="0" allowBlank="1" type="list">
      <formula1>"OPEN,MITIGATED,CLOSED"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26" customWidth="1" min="4" max="4"/>
    <col width="34" customWidth="1" min="5" max="5"/>
    <col width="10" customWidth="1" min="6" max="6"/>
    <col width="10" customWidth="1" min="7" max="7"/>
    <col width="30" customWidth="1" min="8" max="8"/>
    <col width="30" customWidth="1" min="9" max="9"/>
  </cols>
  <sheetData>
    <row r="1" ht="30" customHeight="1">
      <c r="A1" s="6" t="inlineStr">
        <is>
          <t>Stage</t>
        </is>
      </c>
      <c r="B1" s="6" t="inlineStr">
        <is>
          <t>Task</t>
        </is>
      </c>
      <c r="C1" s="6" t="inlineStr">
        <is>
          <t>Status</t>
        </is>
      </c>
      <c r="D1" s="6" t="inlineStr">
        <is>
          <t>Prerequisite</t>
        </is>
      </c>
      <c r="E1" s="6" t="inlineStr">
        <is>
          <t>Deliverable</t>
        </is>
      </c>
      <c r="F1" s="6" t="inlineStr">
        <is>
          <t>Start</t>
        </is>
      </c>
      <c r="G1" s="6" t="inlineStr">
        <is>
          <t>Finish</t>
        </is>
      </c>
      <c r="H1" s="6" t="inlineStr">
        <is>
          <t>Evidence</t>
        </is>
      </c>
      <c r="I1" s="6" t="inlineStr">
        <is>
          <t>Notes</t>
        </is>
      </c>
    </row>
    <row r="2">
      <c r="A2" s="7" t="inlineStr">
        <is>
          <t>DONE</t>
        </is>
      </c>
      <c r="B2" s="7" t="inlineStr">
        <is>
          <t>Source audit</t>
        </is>
      </c>
      <c r="C2" s="7" t="inlineStr">
        <is>
          <t>DONE</t>
        </is>
      </c>
      <c r="D2" s="7" t="inlineStr">
        <is>
          <t>—</t>
        </is>
      </c>
      <c r="E2" s="7" t="inlineStr">
        <is>
          <t>SOURCE_INVENTORY; source_register</t>
        </is>
      </c>
      <c r="F2" s="7" t="inlineStr">
        <is>
          <t>—</t>
        </is>
      </c>
      <c r="G2" s="7" t="inlineStr">
        <is>
          <t>—</t>
        </is>
      </c>
      <c r="H2" s="7" t="inlineStr">
        <is>
          <t>01_sources/</t>
        </is>
      </c>
      <c r="I2" s="7" t="inlineStr"/>
    </row>
    <row r="3">
      <c r="A3" s="7" t="inlineStr">
        <is>
          <t>DONE</t>
        </is>
      </c>
      <c r="B3" s="7" t="inlineStr">
        <is>
          <t>Standards &amp; Auracast research</t>
        </is>
      </c>
      <c r="C3" s="7" t="inlineStr">
        <is>
          <t>DONE</t>
        </is>
      </c>
      <c r="D3" s="7" t="inlineStr">
        <is>
          <t>Source audit</t>
        </is>
      </c>
      <c r="E3" s="7" t="inlineStr">
        <is>
          <t>AURACAST_TECHNICAL_MAP; PROFILE_REQUIREMENTS</t>
        </is>
      </c>
      <c r="F3" s="7" t="inlineStr">
        <is>
          <t>—</t>
        </is>
      </c>
      <c r="G3" s="7" t="inlineStr">
        <is>
          <t>—</t>
        </is>
      </c>
      <c r="H3" s="7" t="inlineStr">
        <is>
          <t>02_research/</t>
        </is>
      </c>
      <c r="I3" s="7" t="inlineStr"/>
    </row>
    <row r="4">
      <c r="A4" s="7" t="inlineStr">
        <is>
          <t>DONE</t>
        </is>
      </c>
      <c r="B4" s="7" t="inlineStr">
        <is>
          <t>Competitor analysis</t>
        </is>
      </c>
      <c r="C4" s="7" t="inlineStr">
        <is>
          <t>DONE</t>
        </is>
      </c>
      <c r="D4" s="7" t="inlineStr">
        <is>
          <t>Research</t>
        </is>
      </c>
      <c r="E4" s="7" t="inlineStr">
        <is>
          <t>COMPETITOR_MATRIX; SONET/Roger cards</t>
        </is>
      </c>
      <c r="F4" s="7" t="inlineStr">
        <is>
          <t>—</t>
        </is>
      </c>
      <c r="G4" s="7" t="inlineStr">
        <is>
          <t>—</t>
        </is>
      </c>
      <c r="H4" s="7" t="inlineStr">
        <is>
          <t>08_competitor_analysis/</t>
        </is>
      </c>
      <c r="I4" s="7" t="inlineStr"/>
    </row>
    <row r="5">
      <c r="A5" s="7" t="inlineStr">
        <is>
          <t>DONE</t>
        </is>
      </c>
      <c r="B5" s="7" t="inlineStr">
        <is>
          <t>Software MVP (Route+)</t>
        </is>
      </c>
      <c r="C5" s="7" t="inlineStr">
        <is>
          <t>DONE</t>
        </is>
      </c>
      <c r="D5" s="7" t="inlineStr">
        <is>
          <t>Architecture</t>
        </is>
      </c>
      <c r="E5" s="7" t="inlineStr">
        <is>
          <t>APP_MVP_SPEC; working MVP</t>
        </is>
      </c>
      <c r="F5" s="7" t="inlineStr">
        <is>
          <t>—</t>
        </is>
      </c>
      <c r="G5" s="7" t="inlineStr">
        <is>
          <t>—</t>
        </is>
      </c>
      <c r="H5" s="7" t="inlineStr">
        <is>
          <t>06_application/</t>
        </is>
      </c>
      <c r="I5" s="7" t="inlineStr">
        <is>
          <t>19+4 теста; demo mode</t>
        </is>
      </c>
    </row>
    <row r="6">
      <c r="A6" s="7" t="inlineStr">
        <is>
          <t>DONE</t>
        </is>
      </c>
      <c r="B6" s="7" t="inlineStr">
        <is>
          <t>Final presentation</t>
        </is>
      </c>
      <c r="C6" s="7" t="inlineStr">
        <is>
          <t>DONE</t>
        </is>
      </c>
      <c r="D6" s="7" t="inlineStr">
        <is>
          <t>Research</t>
        </is>
      </c>
      <c r="E6" s="7" t="inlineStr">
        <is>
          <t>FINAL.pptx / FINAL.pdf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11_presentations/final/</t>
        </is>
      </c>
      <c r="I6" s="7" t="inlineStr"/>
    </row>
    <row r="7">
      <c r="A7" s="7" t="inlineStr">
        <is>
          <t>DONE</t>
        </is>
      </c>
      <c r="B7" s="7" t="inlineStr">
        <is>
          <t>Final article</t>
        </is>
      </c>
      <c r="C7" s="7" t="inlineStr">
        <is>
          <t>DONE</t>
        </is>
      </c>
      <c r="D7" s="7" t="inlineStr">
        <is>
          <t>Research</t>
        </is>
      </c>
      <c r="E7" s="7" t="inlineStr">
        <is>
          <t>FINAL.docx / FINAL.pdf</t>
        </is>
      </c>
      <c r="F7" s="7" t="inlineStr">
        <is>
          <t>—</t>
        </is>
      </c>
      <c r="G7" s="7" t="inlineStr">
        <is>
          <t>—</t>
        </is>
      </c>
      <c r="H7" s="7" t="inlineStr">
        <is>
          <t>12_reports/article/</t>
        </is>
      </c>
      <c r="I7" s="7" t="inlineStr">
        <is>
          <t>2 страницы</t>
        </is>
      </c>
    </row>
    <row r="8">
      <c r="A8" s="7" t="inlineStr">
        <is>
          <t>CURRENT</t>
        </is>
      </c>
      <c r="B8" s="7" t="inlineStr">
        <is>
          <t>Engineering workbook (this package)</t>
        </is>
      </c>
      <c r="C8" s="7" t="inlineStr">
        <is>
          <t>CURRENT</t>
        </is>
      </c>
      <c r="D8" s="7" t="inlineStr">
        <is>
          <t>Research</t>
        </is>
      </c>
      <c r="E8" s="7" t="inlineStr">
        <is>
          <t>Инженерный пакет FINAL.xlsx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12_reports/excel/</t>
        </is>
      </c>
      <c r="I8" s="7" t="inlineStr"/>
    </row>
    <row r="9">
      <c r="A9" s="7" t="inlineStr">
        <is>
          <t>NEXT</t>
        </is>
      </c>
      <c r="B9" s="7" t="inlineStr">
        <is>
          <t>Hardware purchase</t>
        </is>
      </c>
      <c r="C9" s="7" t="inlineStr">
        <is>
          <t>NEXT</t>
        </is>
      </c>
      <c r="D9" s="7" t="inlineStr">
        <is>
          <t>Workbook + lead decision</t>
        </is>
      </c>
      <c r="E9" s="7" t="inlineStr">
        <is>
          <t>Закупленный стенд</t>
        </is>
      </c>
      <c r="F9" s="7" t="n"/>
      <c r="G9" s="7" t="n"/>
      <c r="H9" s="7" t="inlineStr">
        <is>
          <t>PURCHASE_DECISION.md</t>
        </is>
      </c>
      <c r="I9" s="7" t="inlineStr">
        <is>
          <t>Не закуплено</t>
        </is>
      </c>
    </row>
    <row r="10">
      <c r="A10" s="7" t="inlineStr">
        <is>
          <t>NEXT</t>
        </is>
      </c>
      <c r="B10" s="7" t="inlineStr">
        <is>
          <t>E05 Local ASR integration</t>
        </is>
      </c>
      <c r="C10" s="7" t="inlineStr">
        <is>
          <t>NEXT</t>
        </is>
      </c>
      <c r="D10" s="7" t="inlineStr">
        <is>
          <t>PC + ASR software</t>
        </is>
      </c>
      <c r="E10" s="7" t="inlineStr">
        <is>
          <t>ASR_COMPARISON results</t>
        </is>
      </c>
      <c r="F10" s="7" t="n"/>
      <c r="G10" s="7" t="n"/>
      <c r="H10" s="7" t="inlineStr">
        <is>
          <t>LOCAL_ASR_INTEGRATION_PLAN.md</t>
        </is>
      </c>
      <c r="I10" s="7" t="inlineStr">
        <is>
          <t>Веса не скачаны</t>
        </is>
      </c>
    </row>
    <row r="11">
      <c r="A11" s="7" t="inlineStr">
        <is>
          <t>NEXT</t>
        </is>
      </c>
      <c r="B11" s="7" t="inlineStr">
        <is>
          <t>E01 latency</t>
        </is>
      </c>
      <c r="C11" s="7" t="inlineStr">
        <is>
          <t>NEXT</t>
        </is>
      </c>
      <c r="D11" s="7" t="inlineStr">
        <is>
          <t>Research stand</t>
        </is>
      </c>
      <c r="E11" s="7" t="inlineStr">
        <is>
          <t>e01_latency.csv + отчёт</t>
        </is>
      </c>
      <c r="F11" s="7" t="n"/>
      <c r="G11" s="7" t="n"/>
      <c r="H11" s="7" t="inlineStr">
        <is>
          <t>LATENCY_TEST_PROTOCOL.md</t>
        </is>
      </c>
      <c r="I11" s="7" t="inlineStr"/>
    </row>
    <row r="12">
      <c r="A12" s="7" t="inlineStr">
        <is>
          <t>NEXT</t>
        </is>
      </c>
      <c r="B12" s="7" t="inlineStr">
        <is>
          <t>E03 stability</t>
        </is>
      </c>
      <c r="C12" s="7" t="inlineStr">
        <is>
          <t>NEXT</t>
        </is>
      </c>
      <c r="D12" s="7" t="inlineStr">
        <is>
          <t>Research stand</t>
        </is>
      </c>
      <c r="E12" s="7" t="inlineStr">
        <is>
          <t>e03_stability.csv</t>
        </is>
      </c>
      <c r="F12" s="7" t="n"/>
      <c r="G12" s="7" t="n"/>
      <c r="H12" s="7" t="inlineStr">
        <is>
          <t>EXPERIMENT_READINESS_GATE6.md</t>
        </is>
      </c>
      <c r="I12" s="7" t="inlineStr"/>
    </row>
    <row r="13">
      <c r="A13" s="7" t="inlineStr">
        <is>
          <t>NEXT</t>
        </is>
      </c>
      <c r="B13" s="7" t="inlineStr">
        <is>
          <t>E04 LC3 configurations</t>
        </is>
      </c>
      <c r="C13" s="7" t="inlineStr">
        <is>
          <t>NEXT</t>
        </is>
      </c>
      <c r="D13" s="7" t="inlineStr">
        <is>
          <t>Research stand</t>
        </is>
      </c>
      <c r="E13" s="7" t="inlineStr">
        <is>
          <t>e04_lc3.csv</t>
        </is>
      </c>
      <c r="F13" s="7" t="n"/>
      <c r="G13" s="7" t="n"/>
      <c r="H13" s="7" t="inlineStr">
        <is>
          <t>EXPERIMENT_READINESS_GATE6.md</t>
        </is>
      </c>
      <c r="I13" s="7" t="inlineStr"/>
    </row>
    <row r="14">
      <c r="A14" s="7" t="inlineStr">
        <is>
          <t>NEXT</t>
        </is>
      </c>
      <c r="B14" s="7" t="inlineStr">
        <is>
          <t>E07 Bridge-T</t>
        </is>
      </c>
      <c r="C14" s="7" t="inlineStr">
        <is>
          <t>NEXT</t>
        </is>
      </c>
      <c r="D14" s="7" t="inlineStr">
        <is>
          <t>Auracast sink + neckloop + HA/CI</t>
        </is>
      </c>
      <c r="E14" s="7" t="inlineStr">
        <is>
          <t>e07_bridge.csv</t>
        </is>
      </c>
      <c r="F14" s="7" t="n"/>
      <c r="G14" s="7" t="n"/>
      <c r="H14" s="7" t="inlineStr">
        <is>
          <t>BRIDGE_T_MVP_SPEC.md</t>
        </is>
      </c>
      <c r="I14" s="7" t="inlineStr"/>
    </row>
    <row r="15">
      <c r="A15" s="7" t="inlineStr">
        <is>
          <t>FUTURE</t>
        </is>
      </c>
      <c r="B15" s="7" t="inlineStr">
        <is>
          <t>Patent search (professional)</t>
        </is>
      </c>
      <c r="C15" s="7" t="inlineStr">
        <is>
          <t>FUTURE</t>
        </is>
      </c>
      <c r="D15" s="7" t="inlineStr">
        <is>
          <t>Differentiation ready</t>
        </is>
      </c>
      <c r="E15" s="7" t="inlineStr">
        <is>
          <t>Patent search report</t>
        </is>
      </c>
      <c r="F15" s="7" t="n"/>
      <c r="G15" s="7" t="n"/>
      <c r="H15" s="7" t="inlineStr">
        <is>
          <t>PRIOR_ART.md</t>
        </is>
      </c>
      <c r="I15" s="7" t="inlineStr">
        <is>
          <t>GATE 7</t>
        </is>
      </c>
    </row>
    <row r="16">
      <c r="A16" s="7" t="inlineStr">
        <is>
          <t>FUTURE</t>
        </is>
      </c>
      <c r="B16" s="7" t="inlineStr">
        <is>
          <t>Pilot classroom</t>
        </is>
      </c>
      <c r="C16" s="7" t="inlineStr">
        <is>
          <t>FUTURE</t>
        </is>
      </c>
      <c r="D16" s="7" t="inlineStr">
        <is>
          <t>Experiments E05/E01/E03 passing</t>
        </is>
      </c>
      <c r="E16" s="7" t="inlineStr">
        <is>
          <t>Pilot report</t>
        </is>
      </c>
      <c r="F16" s="7" t="n"/>
      <c r="G16" s="7" t="n"/>
      <c r="H16" s="7" t="inlineStr">
        <is>
          <t>ROADMAP.md</t>
        </is>
      </c>
      <c r="I16" s="7" t="inlineStr"/>
    </row>
    <row r="17">
      <c r="A17" s="7" t="inlineStr">
        <is>
          <t>FUTURE</t>
        </is>
      </c>
      <c r="B17" s="7" t="inlineStr">
        <is>
          <t>Optional RID</t>
        </is>
      </c>
      <c r="C17" s="7" t="inlineStr">
        <is>
          <t>FUTURE</t>
        </is>
      </c>
      <c r="D17" s="7" t="inlineStr">
        <is>
          <t>Patent search + MVP</t>
        </is>
      </c>
      <c r="E17" s="7" t="inlineStr">
        <is>
          <t>RID materials</t>
        </is>
      </c>
      <c r="F17" s="7" t="n"/>
      <c r="G17" s="7" t="n"/>
      <c r="H17" s="7" t="inlineStr">
        <is>
          <t>09_novelty_rid/</t>
        </is>
      </c>
      <c r="I17" s="7" t="inlineStr">
        <is>
          <t>Только после поиска</t>
        </is>
      </c>
    </row>
  </sheetData>
  <autoFilter ref="A1:I17"/>
  <conditionalFormatting sqref="A2:A17">
    <cfRule type="cellIs" priority="1" operator="equal" dxfId="0">
      <formula>"DONE"</formula>
    </cfRule>
    <cfRule type="cellIs" priority="2" operator="equal" dxfId="0">
      <formula>"COMPLETED"</formula>
    </cfRule>
    <cfRule type="cellIs" priority="3" operator="equal" dxfId="0">
      <formula>"IMPLEMENTED_MVP"</formula>
    </cfRule>
    <cfRule type="cellIs" priority="4" operator="equal" dxfId="0">
      <formula>"READY"</formula>
    </cfRule>
    <cfRule type="cellIs" priority="5" operator="equal" dxfId="0">
      <formula>"YES"</formula>
    </cfRule>
    <cfRule type="cellIs" priority="6" operator="equal" dxfId="0">
      <formula>"SOURCE PRICE"</formula>
    </cfRule>
    <cfRule type="cellIs" priority="7" operator="equal" dxfId="1">
      <formula>"CURRENT"</formula>
    </cfRule>
    <cfRule type="cellIs" priority="8" operator="equal" dxfId="1">
      <formula>"READY-ON-HW"</formula>
    </cfRule>
    <cfRule type="cellIs" priority="9" operator="equal" dxfId="1">
      <formula>"PARTIAL"</formula>
    </cfRule>
    <cfRule type="cellIs" priority="10" operator="equal" dxfId="2">
      <formula>"NEXT"</formula>
    </cfRule>
    <cfRule type="cellIs" priority="11" operator="equal" dxfId="2">
      <formula>"PLANNED"</formula>
    </cfRule>
    <cfRule type="cellIs" priority="12" operator="equal" dxfId="2">
      <formula>"PROPOSED"</formula>
    </cfRule>
    <cfRule type="cellIs" priority="13" operator="equal" dxfId="2">
      <formula>"RESEARCH"</formula>
    </cfRule>
    <cfRule type="cellIs" priority="14" operator="equal" dxfId="3">
      <formula>"NEEDS QUOTE"</formula>
    </cfRule>
    <cfRule type="cellIs" priority="15" operator="equal" dxfId="3">
      <formula>"ESTIMATE"</formula>
    </cfRule>
    <cfRule type="cellIs" priority="16" operator="equal" dxfId="4">
      <formula>"FUTURE"</formula>
    </cfRule>
    <cfRule type="cellIs" priority="17" operator="equal" dxfId="4">
      <formula>"UNKNOWN"</formula>
    </cfRule>
    <cfRule type="cellIs" priority="18" operator="equal" dxfId="4">
      <formula>"NOT MEASURED"</formula>
    </cfRule>
    <cfRule type="cellIs" priority="19" operator="equal" dxfId="4">
      <formula>"NOT PURCHASED"</formula>
    </cfRule>
    <cfRule type="cellIs" priority="20" operator="equal" dxfId="4">
      <formula>"NO"</formula>
    </cfRule>
    <cfRule type="cellIs" priority="21" operator="equal" dxfId="4">
      <formula>"LEGACY"</formula>
    </cfRule>
    <cfRule type="cellIs" priority="22" operator="equal" dxfId="5">
      <formula>"HIGH"</formula>
    </cfRule>
  </conditionalFormatting>
  <conditionalFormatting sqref="C2:C17">
    <cfRule type="cellIs" priority="23" operator="equal" dxfId="0">
      <formula>"DONE"</formula>
    </cfRule>
    <cfRule type="cellIs" priority="24" operator="equal" dxfId="0">
      <formula>"COMPLETED"</formula>
    </cfRule>
    <cfRule type="cellIs" priority="25" operator="equal" dxfId="0">
      <formula>"IMPLEMENTED_MVP"</formula>
    </cfRule>
    <cfRule type="cellIs" priority="26" operator="equal" dxfId="0">
      <formula>"READY"</formula>
    </cfRule>
    <cfRule type="cellIs" priority="27" operator="equal" dxfId="0">
      <formula>"YES"</formula>
    </cfRule>
    <cfRule type="cellIs" priority="28" operator="equal" dxfId="0">
      <formula>"SOURCE PRICE"</formula>
    </cfRule>
    <cfRule type="cellIs" priority="29" operator="equal" dxfId="1">
      <formula>"CURRENT"</formula>
    </cfRule>
    <cfRule type="cellIs" priority="30" operator="equal" dxfId="1">
      <formula>"READY-ON-HW"</formula>
    </cfRule>
    <cfRule type="cellIs" priority="31" operator="equal" dxfId="1">
      <formula>"PARTIAL"</formula>
    </cfRule>
    <cfRule type="cellIs" priority="32" operator="equal" dxfId="2">
      <formula>"NEXT"</formula>
    </cfRule>
    <cfRule type="cellIs" priority="33" operator="equal" dxfId="2">
      <formula>"PLANNED"</formula>
    </cfRule>
    <cfRule type="cellIs" priority="34" operator="equal" dxfId="2">
      <formula>"PROPOSED"</formula>
    </cfRule>
    <cfRule type="cellIs" priority="35" operator="equal" dxfId="2">
      <formula>"RESEARCH"</formula>
    </cfRule>
    <cfRule type="cellIs" priority="36" operator="equal" dxfId="3">
      <formula>"NEEDS QUOTE"</formula>
    </cfRule>
    <cfRule type="cellIs" priority="37" operator="equal" dxfId="3">
      <formula>"ESTIMATE"</formula>
    </cfRule>
    <cfRule type="cellIs" priority="38" operator="equal" dxfId="4">
      <formula>"FUTURE"</formula>
    </cfRule>
    <cfRule type="cellIs" priority="39" operator="equal" dxfId="4">
      <formula>"UNKNOWN"</formula>
    </cfRule>
    <cfRule type="cellIs" priority="40" operator="equal" dxfId="4">
      <formula>"NOT MEASURED"</formula>
    </cfRule>
    <cfRule type="cellIs" priority="41" operator="equal" dxfId="4">
      <formula>"NOT PURCHASED"</formula>
    </cfRule>
    <cfRule type="cellIs" priority="42" operator="equal" dxfId="4">
      <formula>"NO"</formula>
    </cfRule>
    <cfRule type="cellIs" priority="43" operator="equal" dxfId="4">
      <formula>"LEGACY"</formula>
    </cfRule>
    <cfRule type="cellIs" priority="44" operator="equal" dxfId="5">
      <formula>"HIGH"</formula>
    </cfRule>
  </conditionalFormatting>
  <dataValidations count="1">
    <dataValidation sqref="C2:C17" showDropDown="0" showInputMessage="0" showErrorMessage="0" allowBlank="1" type="list">
      <formula1>"DONE,CURRENT,NEXT,FUTURE"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24" customWidth="1" min="3" max="3"/>
    <col width="8" customWidth="1" min="4" max="4"/>
    <col width="26" customWidth="1" min="5" max="5"/>
    <col width="9" customWidth="1" min="6" max="6"/>
    <col width="13" customWidth="1" min="7" max="7"/>
    <col width="11" customWidth="1" min="8" max="8"/>
    <col width="40" customWidth="1" min="9" max="9"/>
    <col width="12" customWidth="1" min="10" max="10"/>
    <col width="42" customWidth="1" min="11" max="11"/>
    <col width="30" customWidth="1" min="12" max="12"/>
    <col width="10" customWidth="1" min="13" max="13"/>
    <col width="26" customWidth="1" min="14" max="14"/>
  </cols>
  <sheetData>
    <row r="1" ht="30" customHeight="1">
      <c r="A1" s="6" t="inlineStr">
        <is>
          <t>Source ID</t>
        </is>
      </c>
      <c r="B1" s="6" t="inlineStr">
        <is>
          <t>Title</t>
        </is>
      </c>
      <c r="C1" s="6" t="inlineStr">
        <is>
          <t>Organisation / Author</t>
        </is>
      </c>
      <c r="D1" s="6" t="inlineStr">
        <is>
          <t>Year</t>
        </is>
      </c>
      <c r="E1" s="6" t="inlineStr">
        <is>
          <t>Type</t>
        </is>
      </c>
      <c r="F1" s="6" t="inlineStr">
        <is>
          <t>PRIMARY?</t>
        </is>
      </c>
      <c r="G1" s="6" t="inlineStr">
        <is>
          <t>PEER-REVIEWED?</t>
        </is>
      </c>
      <c r="H1" s="6" t="inlineStr">
        <is>
          <t>SECONDARY?</t>
        </is>
      </c>
      <c r="I1" s="6" t="inlineStr">
        <is>
          <t>URL / File</t>
        </is>
      </c>
      <c r="J1" s="6" t="inlineStr">
        <is>
          <t>Access Date</t>
        </is>
      </c>
      <c r="K1" s="6" t="inlineStr">
        <is>
          <t>Claims Supported</t>
        </is>
      </c>
      <c r="L1" s="6" t="inlineStr">
        <is>
          <t>Used In</t>
        </is>
      </c>
      <c r="M1" s="6" t="inlineStr">
        <is>
          <t>Current?</t>
        </is>
      </c>
      <c r="N1" s="6" t="inlineStr">
        <is>
          <t>Notes</t>
        </is>
      </c>
    </row>
    <row r="2">
      <c r="A2" s="7" t="inlineStr">
        <is>
          <t>SRC-SIG-PBP</t>
        </is>
      </c>
      <c r="B2" s="7" t="inlineStr">
        <is>
          <t>Public Broadcast Profile 1.0.1</t>
        </is>
      </c>
      <c r="C2" s="7" t="inlineStr">
        <is>
          <t>Bluetooth SIG</t>
        </is>
      </c>
      <c r="D2" s="7" t="inlineStr">
        <is>
          <t>2023</t>
        </is>
      </c>
      <c r="E2" s="7" t="inlineStr">
        <is>
          <t>Specification</t>
        </is>
      </c>
      <c r="F2" s="7" t="inlineStr">
        <is>
          <t>YES</t>
        </is>
      </c>
      <c r="G2" s="7" t="inlineStr">
        <is>
          <t>NO</t>
        </is>
      </c>
      <c r="H2" s="7" t="inlineStr">
        <is>
          <t>NO</t>
        </is>
      </c>
      <c r="I2" s="16" t="inlineStr">
        <is>
          <t>https://www.bluetooth.com/specifications/specs/public-broadcast-profile/</t>
        </is>
      </c>
      <c r="J2" s="7" t="inlineStr">
        <is>
          <t>2026-09-26</t>
        </is>
      </c>
      <c r="K2" s="7" t="inlineStr">
        <is>
          <t>Auracast, роли PBS/PBK/PBA, SQ/HQ</t>
        </is>
      </c>
      <c r="L2" s="7" t="inlineStr">
        <is>
          <t>Article; AURACAST_TECHNICAL_MAP</t>
        </is>
      </c>
      <c r="M2" s="7" t="inlineStr">
        <is>
          <t>YES</t>
        </is>
      </c>
      <c r="N2" s="7" t="inlineStr"/>
    </row>
    <row r="3">
      <c r="A3" s="7" t="inlineStr">
        <is>
          <t>SRC-SIG-BAP</t>
        </is>
      </c>
      <c r="B3" s="7" t="inlineStr">
        <is>
          <t>Basic Audio Profile 1.0.1</t>
        </is>
      </c>
      <c r="C3" s="7" t="inlineStr">
        <is>
          <t>Bluetooth SIG</t>
        </is>
      </c>
      <c r="D3" s="7" t="inlineStr">
        <is>
          <t>2023</t>
        </is>
      </c>
      <c r="E3" s="7" t="inlineStr">
        <is>
          <t>Specification</t>
        </is>
      </c>
      <c r="F3" s="7" t="inlineStr">
        <is>
          <t>YES</t>
        </is>
      </c>
      <c r="G3" s="7" t="inlineStr">
        <is>
          <t>NO</t>
        </is>
      </c>
      <c r="H3" s="7" t="inlineStr">
        <is>
          <t>NO</t>
        </is>
      </c>
      <c r="I3" s="16" t="inlineStr">
        <is>
          <t>https://www.bluetooth.com/specifications/specs/basic-audio-profile-1-0-1/</t>
        </is>
      </c>
      <c r="J3" s="7" t="inlineStr">
        <is>
          <t>2026-09-26</t>
        </is>
      </c>
      <c r="K3" s="7" t="inlineStr">
        <is>
          <t>Роли BAP; конфигурации 16/24/48 кГц; QoS; PD</t>
        </is>
      </c>
      <c r="L3" s="7" t="inlineStr">
        <is>
          <t>Article; LC3_CONFIGURATION_MATRIX</t>
        </is>
      </c>
      <c r="M3" s="7" t="inlineStr">
        <is>
          <t>YES</t>
        </is>
      </c>
      <c r="N3" s="7" t="inlineStr"/>
    </row>
    <row r="4">
      <c r="A4" s="7" t="inlineStr">
        <is>
          <t>SRC-SIG-BASS</t>
        </is>
      </c>
      <c r="B4" s="7" t="inlineStr">
        <is>
          <t>Broadcast Audio Scan Service 1.0</t>
        </is>
      </c>
      <c r="C4" s="7" t="inlineStr">
        <is>
          <t>Bluetooth SIG</t>
        </is>
      </c>
      <c r="D4" s="7" t="inlineStr">
        <is>
          <t>2022</t>
        </is>
      </c>
      <c r="E4" s="7" t="inlineStr">
        <is>
          <t>Specification</t>
        </is>
      </c>
      <c r="F4" s="7" t="inlineStr">
        <is>
          <t>YES</t>
        </is>
      </c>
      <c r="G4" s="7" t="inlineStr">
        <is>
          <t>NO</t>
        </is>
      </c>
      <c r="H4" s="7" t="inlineStr">
        <is>
          <t>NO</t>
        </is>
      </c>
      <c r="I4" s="16" t="inlineStr">
        <is>
          <t>https://www.bluetooth.com/specifications/specs/broadcast-audio-scan-service/</t>
        </is>
      </c>
      <c r="J4" s="7" t="inlineStr">
        <is>
          <t>2026-09-26</t>
        </is>
      </c>
      <c r="K4" s="7" t="inlineStr">
        <is>
          <t>Обязательность BASS на приёмнике</t>
        </is>
      </c>
      <c r="L4" s="7" t="inlineStr">
        <is>
          <t>AURACAST_TECHNICAL_MAP</t>
        </is>
      </c>
      <c r="M4" s="7" t="inlineStr">
        <is>
          <t>YES</t>
        </is>
      </c>
      <c r="N4" s="7" t="inlineStr">
        <is>
          <t>В статью не вошёл (лимит 2 стр.)</t>
        </is>
      </c>
    </row>
    <row r="5">
      <c r="A5" s="7" t="inlineStr">
        <is>
          <t>SRC-PHONAK</t>
        </is>
      </c>
      <c r="B5" s="7" t="inlineStr">
        <is>
          <t>Roger NeckLoop: USB audio and speech-to-text (incl. STT guide V1.00/2021-04)</t>
        </is>
      </c>
      <c r="C5" s="7" t="inlineStr">
        <is>
          <t>Sonova / Phonak</t>
        </is>
      </c>
      <c r="D5" s="7" t="inlineStr">
        <is>
          <t>2021</t>
        </is>
      </c>
      <c r="E5" s="7" t="inlineStr">
        <is>
          <t>Vendor documentation</t>
        </is>
      </c>
      <c r="F5" s="7" t="inlineStr">
        <is>
          <t>YES</t>
        </is>
      </c>
      <c r="G5" s="7" t="inlineStr">
        <is>
          <t>NO</t>
        </is>
      </c>
      <c r="H5" s="7" t="inlineStr">
        <is>
          <t>NO</t>
        </is>
      </c>
      <c r="I5" s="16" t="inlineStr">
        <is>
          <t>https://www.phonak.com/en-us/hearing-devices/microphones/roger-neckloop</t>
        </is>
      </c>
      <c r="J5" s="7" t="inlineStr">
        <is>
          <t>2026-09-26</t>
        </is>
      </c>
      <c r="K5" s="7" t="inlineStr">
        <is>
          <t>USB→STT prior art; T-coil; задержка &lt;20 мс</t>
        </is>
      </c>
      <c r="L5" s="7" t="inlineStr">
        <is>
          <t>Article; PHONAK_ROGER</t>
        </is>
      </c>
      <c r="M5" s="7" t="inlineStr">
        <is>
          <t>YES</t>
        </is>
      </c>
      <c r="N5" s="7" t="inlineStr">
        <is>
          <t>CRITICAL PRIOR ART</t>
        </is>
      </c>
    </row>
    <row r="6">
      <c r="A6" s="7" t="inlineStr">
        <is>
          <t>SRC-SONET</t>
        </is>
      </c>
      <c r="B6" s="7" t="inlineStr">
        <is>
          <t>Радиокласс «СОНЕТ 2.0»</t>
        </is>
      </c>
      <c r="C6" s="7" t="inlineStr">
        <is>
          <t>Исток-Аудио</t>
        </is>
      </c>
      <c r="D6" s="7" t="inlineStr">
        <is>
          <t>2026</t>
        </is>
      </c>
      <c r="E6" s="7" t="inlineStr">
        <is>
          <t>Vendor documentation (official catalog)</t>
        </is>
      </c>
      <c r="F6" s="7" t="inlineStr">
        <is>
          <t>YES</t>
        </is>
      </c>
      <c r="G6" s="7" t="inlineStr">
        <is>
          <t>NO</t>
        </is>
      </c>
      <c r="H6" s="7" t="inlineStr">
        <is>
          <t>NO</t>
        </is>
      </c>
      <c r="I6" s="16" t="inlineStr">
        <is>
          <t>https://www.istok-audio.com/catalog/product/radioklass_sonet_2_0/</t>
        </is>
      </c>
      <c r="J6" s="7" t="inlineStr">
        <is>
          <t>2026-09-26</t>
        </is>
      </c>
      <c r="K6" s="7" t="inlineStr">
        <is>
          <t>СОНЕТ 2.0: характеристики, T/TM, группы</t>
        </is>
      </c>
      <c r="L6" s="7" t="inlineStr">
        <is>
          <t>Article; SONET_2_0</t>
        </is>
      </c>
      <c r="M6" s="7" t="inlineStr">
        <is>
          <t>YES</t>
        </is>
      </c>
      <c r="N6" s="7" t="inlineStr">
        <is>
          <t>Vendor-run tests без peer review</t>
        </is>
      </c>
    </row>
    <row r="7">
      <c r="A7" s="7" t="inlineStr">
        <is>
          <t>SRC-ANDROID</t>
        </is>
      </c>
      <c r="B7" s="7" t="inlineStr">
        <is>
          <t>Bluetooth LE Audio</t>
        </is>
      </c>
      <c r="C7" s="7" t="inlineStr">
        <is>
          <t>Android Developers / Google</t>
        </is>
      </c>
      <c r="D7" s="7" t="inlineStr">
        <is>
          <t>2026</t>
        </is>
      </c>
      <c r="E7" s="7" t="inlineStr">
        <is>
          <t>Platform documentation</t>
        </is>
      </c>
      <c r="F7" s="7" t="inlineStr">
        <is>
          <t>YES</t>
        </is>
      </c>
      <c r="G7" s="7" t="inlineStr">
        <is>
          <t>NO</t>
        </is>
      </c>
      <c r="H7" s="7" t="inlineStr">
        <is>
          <t>NO</t>
        </is>
      </c>
      <c r="I7" s="16" t="inlineStr">
        <is>
          <t>https://developer.android.com/develop/connectivity/bluetooth/ble-audio/overview</t>
        </is>
      </c>
      <c r="J7" s="7" t="inlineStr">
        <is>
          <t>2026-09-26</t>
        </is>
      </c>
      <c r="K7" s="7" t="inlineStr">
        <is>
          <t>Ограничения API для сторонних приложений</t>
        </is>
      </c>
      <c r="L7" s="7" t="inlineStr">
        <is>
          <t>Article; MOBILE_AURACAST_SUPPORT</t>
        </is>
      </c>
      <c r="M7" s="7" t="inlineStr">
        <is>
          <t>YES</t>
        </is>
      </c>
      <c r="N7" s="7" t="inlineStr"/>
    </row>
    <row r="8">
      <c r="A8" s="7" t="inlineStr">
        <is>
          <t>SRC-BRADLEY</t>
        </is>
      </c>
      <c r="B8" s="7" t="inlineStr">
        <is>
          <t>The intelligibility of speech in elementary school classrooms</t>
        </is>
      </c>
      <c r="C8" s="7" t="inlineStr">
        <is>
          <t>Bradley J.S., Sato H.</t>
        </is>
      </c>
      <c r="D8" s="7" t="inlineStr">
        <is>
          <t>2008</t>
        </is>
      </c>
      <c r="E8" s="7" t="inlineStr">
        <is>
          <t>Peer-reviewed research</t>
        </is>
      </c>
      <c r="F8" s="7" t="inlineStr">
        <is>
          <t>NO</t>
        </is>
      </c>
      <c r="G8" s="7" t="inlineStr">
        <is>
          <t>YES</t>
        </is>
      </c>
      <c r="H8" s="7" t="inlineStr">
        <is>
          <t>NO</t>
        </is>
      </c>
      <c r="I8" s="7" t="inlineStr">
        <is>
          <t>DOI: 10.1121/1.2839285</t>
        </is>
      </c>
      <c r="J8" s="7" t="inlineStr">
        <is>
          <t>2026-09-26</t>
        </is>
      </c>
      <c r="K8" s="7" t="inlineStr">
        <is>
          <t>Акустика класса; +15 дБ SNR</t>
        </is>
      </c>
      <c r="L8" s="7" t="inlineStr">
        <is>
          <t>Article; CLEAN_FEED_ASR_RESEARCH</t>
        </is>
      </c>
      <c r="M8" s="7" t="inlineStr">
        <is>
          <t>YES</t>
        </is>
      </c>
      <c r="N8" s="7" t="inlineStr">
        <is>
          <t>JASA 123(4):2078–2086</t>
        </is>
      </c>
    </row>
    <row r="9">
      <c r="A9" s="7" t="inlineStr">
        <is>
          <t>SRC-UQ</t>
        </is>
      </c>
      <c r="B9" s="7" t="inlineStr">
        <is>
          <t>UQ creates change for accessibility students</t>
        </is>
      </c>
      <c r="C9" s="7" t="inlineStr">
        <is>
          <t>University of Queensland</t>
        </is>
      </c>
      <c r="D9" s="7" t="inlineStr">
        <is>
          <t>2026</t>
        </is>
      </c>
      <c r="E9" s="7" t="inlineStr">
        <is>
          <t>University official news</t>
        </is>
      </c>
      <c r="F9" s="7" t="inlineStr">
        <is>
          <t>YES</t>
        </is>
      </c>
      <c r="G9" s="7" t="inlineStr">
        <is>
          <t>NO</t>
        </is>
      </c>
      <c r="H9" s="7" t="inlineStr">
        <is>
          <t>NO</t>
        </is>
      </c>
      <c r="I9" s="16" t="inlineStr">
        <is>
          <t>https://news.uq.edu.au/2026-03-uq-creates-change-accessibility-students</t>
        </is>
      </c>
      <c r="J9" s="7" t="inlineStr">
        <is>
          <t>2026-09-26</t>
        </is>
      </c>
      <c r="K9" s="7" t="inlineStr">
        <is>
          <t>Auracast в 65 аудиториях; ограничение iPhone-assistant</t>
        </is>
      </c>
      <c r="L9" s="7" t="inlineStr">
        <is>
          <t>Article; REAL_WORLD_DEPLOYMENTS</t>
        </is>
      </c>
      <c r="M9" s="7" t="inlineStr">
        <is>
          <t>YES</t>
        </is>
      </c>
      <c r="N9" s="7" t="inlineStr">
        <is>
          <t>PRIMARY для собственного внедрения</t>
        </is>
      </c>
    </row>
    <row r="10">
      <c r="A10" s="7" t="inlineStr">
        <is>
          <t>SRC-AURI</t>
        </is>
      </c>
      <c r="B10" s="7" t="inlineStr">
        <is>
          <t>Auri ALS; кейсы Oxford/UAL</t>
        </is>
      </c>
      <c r="C10" s="7" t="inlineStr">
        <is>
          <t>Ampetronic / Listen Technologies</t>
        </is>
      </c>
      <c r="D10" s="7" t="inlineStr">
        <is>
          <t>2025</t>
        </is>
      </c>
      <c r="E10" s="7" t="inlineStr">
        <is>
          <t>Vendor documentation + case studies</t>
        </is>
      </c>
      <c r="F10" s="7" t="inlineStr">
        <is>
          <t>YES</t>
        </is>
      </c>
      <c r="G10" s="7" t="inlineStr">
        <is>
          <t>NO</t>
        </is>
      </c>
      <c r="H10" s="7" t="inlineStr">
        <is>
          <t>PARTIAL</t>
        </is>
      </c>
      <c r="I10" s="16" t="inlineStr">
        <is>
          <t>https://www.auriaudio.com/</t>
        </is>
      </c>
      <c r="J10" s="7" t="inlineStr">
        <is>
          <t>2026-09-26</t>
        </is>
      </c>
      <c r="K10" s="7" t="inlineStr">
        <is>
          <t>Реальные внедрения Auracast ALS</t>
        </is>
      </c>
      <c r="L10" s="7" t="inlineStr">
        <is>
          <t>REAL_WORLD_DEPLOYMENTS; COMPETITOR_MATRIX</t>
        </is>
      </c>
      <c r="M10" s="7" t="inlineStr">
        <is>
          <t>YES</t>
        </is>
      </c>
      <c r="N10" s="7" t="inlineStr">
        <is>
          <t>Vendor + press для Oxford</t>
        </is>
      </c>
    </row>
    <row r="11">
      <c r="A11" s="7" t="inlineStr">
        <is>
          <t>SRC-BETTEAR</t>
        </is>
      </c>
      <c r="B11" s="7" t="inlineStr">
        <is>
          <t>Bettear: education и RTX USB feed</t>
        </is>
      </c>
      <c r="C11" s="7" t="inlineStr">
        <is>
          <t>Bettear</t>
        </is>
      </c>
      <c r="D11" s="7" t="inlineStr">
        <is>
          <t>2026</t>
        </is>
      </c>
      <c r="E11" s="7" t="inlineStr">
        <is>
          <t>Vendor documentation</t>
        </is>
      </c>
      <c r="F11" s="7" t="inlineStr">
        <is>
          <t>YES</t>
        </is>
      </c>
      <c r="G11" s="7" t="inlineStr">
        <is>
          <t>NO</t>
        </is>
      </c>
      <c r="H11" s="7" t="inlineStr">
        <is>
          <t>NO</t>
        </is>
      </c>
      <c r="I11" s="16" t="inlineStr">
        <is>
          <t>https://bettear.com/</t>
        </is>
      </c>
      <c r="J11" s="7" t="inlineStr">
        <is>
          <t>2026-09-26</t>
        </is>
      </c>
      <c r="K11" s="7" t="inlineStr">
        <is>
          <t>Auracast + venue captions + RTX STT feed</t>
        </is>
      </c>
      <c r="L11" s="7" t="inlineStr">
        <is>
          <t>COMPETITOR_MATRIX</t>
        </is>
      </c>
      <c r="M11" s="7" t="inlineStr">
        <is>
          <t>YES</t>
        </is>
      </c>
      <c r="N11" s="7" t="inlineStr"/>
    </row>
    <row r="12">
      <c r="A12" s="7" t="inlineStr">
        <is>
          <t>SRC-HEARAURA</t>
        </is>
      </c>
      <c r="B12" s="7" t="inlineStr">
        <is>
          <t>HearAura — Auracast assistant + captions</t>
        </is>
      </c>
      <c r="C12" s="7" t="inlineStr">
        <is>
          <t>HearAura (indie)</t>
        </is>
      </c>
      <c r="D12" s="7" t="inlineStr">
        <is>
          <t>2026</t>
        </is>
      </c>
      <c r="E12" s="7" t="inlineStr">
        <is>
          <t>Product site</t>
        </is>
      </c>
      <c r="F12" s="7" t="inlineStr">
        <is>
          <t>YES</t>
        </is>
      </c>
      <c r="G12" s="7" t="inlineStr">
        <is>
          <t>NO</t>
        </is>
      </c>
      <c r="H12" s="7" t="inlineStr">
        <is>
          <t>NO</t>
        </is>
      </c>
      <c r="I12" s="16" t="inlineStr">
        <is>
          <t>https://hearaura.app/</t>
        </is>
      </c>
      <c r="J12" s="7" t="inlineStr">
        <is>
          <t>2026-09-26</t>
        </is>
      </c>
      <c r="K12" s="7" t="inlineStr">
        <is>
          <t>Auracast + captions; «Catch me up»</t>
        </is>
      </c>
      <c r="L12" s="7" t="inlineStr">
        <is>
          <t>ASSISTIVE_APP_LANDSCAPE</t>
        </is>
      </c>
      <c r="M12" s="7" t="inlineStr">
        <is>
          <t>YES</t>
        </is>
      </c>
      <c r="N12" s="7" t="inlineStr"/>
    </row>
    <row r="13">
      <c r="A13" s="7" t="inlineStr">
        <is>
          <t>SRC-AVA</t>
        </is>
      </c>
      <c r="B13" s="7" t="inlineStr">
        <is>
          <t>Ava live captions</t>
        </is>
      </c>
      <c r="C13" s="7" t="inlineStr">
        <is>
          <t>Ava</t>
        </is>
      </c>
      <c r="D13" s="7" t="inlineStr">
        <is>
          <t>2026</t>
        </is>
      </c>
      <c r="E13" s="7" t="inlineStr">
        <is>
          <t>Product site</t>
        </is>
      </c>
      <c r="F13" s="7" t="inlineStr">
        <is>
          <t>YES</t>
        </is>
      </c>
      <c r="G13" s="7" t="inlineStr">
        <is>
          <t>NO</t>
        </is>
      </c>
      <c r="H13" s="7" t="inlineStr">
        <is>
          <t>NO</t>
        </is>
      </c>
      <c r="I13" s="16" t="inlineStr">
        <is>
          <t>https://www.ava.me/</t>
        </is>
      </c>
      <c r="J13" s="7" t="inlineStr">
        <is>
          <t>2026-09-26</t>
        </is>
      </c>
      <c r="K13" s="7" t="inlineStr">
        <is>
          <t>Функции live captions/notes</t>
        </is>
      </c>
      <c r="L13" s="7" t="inlineStr">
        <is>
          <t>ASSISTIVE_APP_LANDSCAPE</t>
        </is>
      </c>
      <c r="M13" s="7" t="inlineStr">
        <is>
          <t>YES</t>
        </is>
      </c>
      <c r="N13" s="7" t="inlineStr"/>
    </row>
    <row r="14">
      <c r="A14" s="7" t="inlineStr">
        <is>
          <t>SRC-GOOGLE</t>
        </is>
      </c>
      <c r="B14" s="7" t="inlineStr">
        <is>
          <t>Google Live Transcribe / Live Caption</t>
        </is>
      </c>
      <c r="C14" s="7" t="inlineStr">
        <is>
          <t>Google</t>
        </is>
      </c>
      <c r="D14" s="7" t="inlineStr">
        <is>
          <t>2026</t>
        </is>
      </c>
      <c r="E14" s="7" t="inlineStr">
        <is>
          <t>Official product docs</t>
        </is>
      </c>
      <c r="F14" s="7" t="inlineStr">
        <is>
          <t>YES</t>
        </is>
      </c>
      <c r="G14" s="7" t="inlineStr">
        <is>
          <t>NO</t>
        </is>
      </c>
      <c r="H14" s="7" t="inlineStr">
        <is>
          <t>NO</t>
        </is>
      </c>
      <c r="I14" s="16" t="inlineStr">
        <is>
          <t>https://support.google.com/accessibility/android/answer/9158064</t>
        </is>
      </c>
      <c r="J14" s="7" t="inlineStr">
        <is>
          <t>2026-09-26</t>
        </is>
      </c>
      <c r="K14" s="7" t="inlineStr">
        <is>
          <t>Captions/hold/scrollback</t>
        </is>
      </c>
      <c r="L14" s="7" t="inlineStr">
        <is>
          <t>ASSISTIVE_APP_LANDSCAPE</t>
        </is>
      </c>
      <c r="M14" s="7" t="inlineStr">
        <is>
          <t>YES</t>
        </is>
      </c>
      <c r="N14" s="7" t="inlineStr"/>
    </row>
    <row r="15">
      <c r="A15" s="7" t="inlineStr">
        <is>
          <t>SRC-NORDIC</t>
        </is>
      </c>
      <c r="B15" s="7" t="inlineStr">
        <is>
          <t>nRF5340 Audio DK</t>
        </is>
      </c>
      <c r="C15" s="7" t="inlineStr">
        <is>
          <t>Nordic Semiconductor</t>
        </is>
      </c>
      <c r="D15" s="7" t="inlineStr">
        <is>
          <t>2026</t>
        </is>
      </c>
      <c r="E15" s="7" t="inlineStr">
        <is>
          <t>Vendor documentation</t>
        </is>
      </c>
      <c r="F15" s="7" t="inlineStr">
        <is>
          <t>YES</t>
        </is>
      </c>
      <c r="G15" s="7" t="inlineStr">
        <is>
          <t>NO</t>
        </is>
      </c>
      <c r="H15" s="7" t="inlineStr">
        <is>
          <t>NO</t>
        </is>
      </c>
      <c r="I15" s="16" t="inlineStr">
        <is>
          <t>https://www.nordicsemi.com/Products/Development-hardware/nRF5340-Audio-DK</t>
        </is>
      </c>
      <c r="J15" s="7" t="inlineStr">
        <is>
          <t>2026-09-26</t>
        </is>
      </c>
      <c r="K15" s="7" t="inlineStr">
        <is>
          <t>Характеристики devkit</t>
        </is>
      </c>
      <c r="L15" s="7" t="inlineStr">
        <is>
          <t>DEVKIT_COMPARISON; PURCHASE_DECISION</t>
        </is>
      </c>
      <c r="M15" s="7" t="inlineStr">
        <is>
          <t>YES</t>
        </is>
      </c>
      <c r="N15" s="7" t="inlineStr"/>
    </row>
    <row r="16">
      <c r="A16" s="7" t="inlineStr">
        <is>
          <t>SRC-INTERNAL</t>
        </is>
      </c>
      <c r="B16" s="7" t="inlineStr">
        <is>
          <t>Проектные документы (MVP, архитектура, эксперименты, статья, презентация)</t>
        </is>
      </c>
      <c r="C16" s="7" t="inlineStr">
        <is>
          <t>Никитин Даниил Константинович</t>
        </is>
      </c>
      <c r="D16" s="7" t="inlineStr">
        <is>
          <t>2026</t>
        </is>
      </c>
      <c r="E16" s="7" t="inlineStr">
        <is>
          <t>Internal project evidence</t>
        </is>
      </c>
      <c r="F16" s="7" t="inlineStr">
        <is>
          <t>YES</t>
        </is>
      </c>
      <c r="G16" s="7" t="inlineStr">
        <is>
          <t>NO</t>
        </is>
      </c>
      <c r="H16" s="7" t="inlineStr">
        <is>
          <t>NO</t>
        </is>
      </c>
      <c r="I16" s="7" t="inlineStr">
        <is>
          <t>PROJECT_STATE.md</t>
        </is>
      </c>
      <c r="J16" s="7" t="inlineStr">
        <is>
          <t>2026-09-26</t>
        </is>
      </c>
      <c r="K16" s="7" t="inlineStr">
        <is>
          <t>Реализация Route+; архитектура; протоколы</t>
        </is>
      </c>
      <c r="L16" s="7" t="inlineStr">
        <is>
          <t>PROJECT_STATE; MASTER_REPORT</t>
        </is>
      </c>
      <c r="M16" s="7" t="inlineStr">
        <is>
          <t>YES</t>
        </is>
      </c>
      <c r="N16" s="7" t="inlineStr">
        <is>
          <t>AUTHOR_COUNT = 1</t>
        </is>
      </c>
    </row>
    <row r="17">
      <c r="A17" s="7" t="inlineStr">
        <is>
          <t>SRC-LEGACY</t>
        </is>
      </c>
      <c r="B17" s="7" t="inlineStr">
        <is>
          <t>Исторические материалы проекта (S001–S011)</t>
        </is>
      </c>
      <c r="C17" s="7" t="inlineStr">
        <is>
          <t>автор проекта</t>
        </is>
      </c>
      <c r="D17" s="7" t="inlineStr">
        <is>
          <t>2024–2026</t>
        </is>
      </c>
      <c r="E17" s="7" t="inlineStr">
        <is>
          <t>Internal legacy/current sources</t>
        </is>
      </c>
      <c r="F17" s="7" t="inlineStr">
        <is>
          <t>NO</t>
        </is>
      </c>
      <c r="G17" s="7" t="inlineStr">
        <is>
          <t>NO</t>
        </is>
      </c>
      <c r="H17" s="7" t="inlineStr">
        <is>
          <t>YES</t>
        </is>
      </c>
      <c r="I17" s="7" t="inlineStr">
        <is>
          <t>01_sources/</t>
        </is>
      </c>
      <c r="J17" s="7" t="inlineStr">
        <is>
          <t>2026-09-26</t>
        </is>
      </c>
      <c r="K17" s="7" t="inlineStr">
        <is>
          <t>Историческое развитие проекта</t>
        </is>
      </c>
      <c r="L17" s="7" t="inlineStr">
        <is>
          <t>SOURCE_INVENTORY</t>
        </is>
      </c>
      <c r="M17" s="7" t="inlineStr">
        <is>
          <t>LEGACY</t>
        </is>
      </c>
      <c r="N17" s="7" t="inlineStr">
        <is>
          <t>Не source of truth</t>
        </is>
      </c>
    </row>
  </sheetData>
  <autoFilter ref="A1:N17"/>
  <dataValidations count="2">
    <dataValidation sqref="F2:H17" showDropDown="0" showInputMessage="0" showErrorMessage="0" allowBlank="1" type="list">
      <formula1>"YES,NO,PARTIAL"</formula1>
    </dataValidation>
    <dataValidation sqref="M2:M17" showDropDown="0" showInputMessage="0" showErrorMessage="0" allowBlank="1" type="list">
      <formula1>"YES,NO,LEGACY"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34" customWidth="1" min="4" max="4"/>
    <col width="24" customWidth="1" min="5" max="5"/>
    <col width="30" customWidth="1" min="6" max="6"/>
    <col width="12" customWidth="1" min="7" max="7"/>
    <col width="10" customWidth="1" min="8" max="8"/>
    <col width="16" customWidth="1" min="9" max="9"/>
  </cols>
  <sheetData>
    <row r="1" ht="30" customHeight="1">
      <c r="A1" s="6" t="inlineStr">
        <is>
          <t>Decision ID</t>
        </is>
      </c>
      <c r="B1" s="6" t="inlineStr">
        <is>
          <t>Date</t>
        </is>
      </c>
      <c r="C1" s="6" t="inlineStr">
        <is>
          <t>Decision</t>
        </is>
      </c>
      <c r="D1" s="6" t="inlineStr">
        <is>
          <t>Reason</t>
        </is>
      </c>
      <c r="E1" s="6" t="inlineStr">
        <is>
          <t>Alternatives</t>
        </is>
      </c>
      <c r="F1" s="6" t="inlineStr">
        <is>
          <t>Evidence</t>
        </is>
      </c>
      <c r="G1" s="6" t="inlineStr">
        <is>
          <t>Status</t>
        </is>
      </c>
      <c r="H1" s="6" t="inlineStr">
        <is>
          <t>Impact</t>
        </is>
      </c>
      <c r="I1" s="6" t="inlineStr">
        <is>
          <t>Source</t>
        </is>
      </c>
    </row>
    <row r="2">
      <c r="A2" s="7" t="inlineStr">
        <is>
          <t>D-003</t>
        </is>
      </c>
      <c r="B2" s="7" t="inlineStr">
        <is>
          <t>2026-09-26</t>
        </is>
      </c>
      <c r="C2" s="7" t="inlineStr">
        <is>
          <t>Не заявлять мировую новизну</t>
        </is>
      </c>
      <c r="D2" s="7" t="inlineStr">
        <is>
          <t>Нет патентного поиска</t>
        </is>
      </c>
      <c r="E2" s="7" t="inlineStr">
        <is>
          <t>Заявлять новизну</t>
        </is>
      </c>
      <c r="F2" s="7" t="inlineStr">
        <is>
          <t>DIFFERENTIATION_STATEMENT</t>
        </is>
      </c>
      <c r="G2" s="7" t="inlineStr">
        <is>
          <t>ACCEPTED</t>
        </is>
      </c>
      <c r="H2" s="7" t="inlineStr">
        <is>
          <t>Высокое</t>
        </is>
      </c>
      <c r="I2" s="7" t="inlineStr">
        <is>
          <t>DECISIONS.md</t>
        </is>
      </c>
    </row>
    <row r="3">
      <c r="A3" s="7" t="inlineStr">
        <is>
          <t>D-015</t>
        </is>
      </c>
      <c r="B3" s="7" t="inlineStr">
        <is>
          <t>2026-09-26</t>
        </is>
      </c>
      <c r="C3" s="7" t="inlineStr">
        <is>
          <t>Route+ вне аудио-цепочки Auracast</t>
        </is>
      </c>
      <c r="D3" s="7" t="inlineStr">
        <is>
          <t>Ограничения API мобильных ОС</t>
        </is>
      </c>
      <c r="E3" s="7" t="inlineStr">
        <is>
          <t>Собственный Auracast stack</t>
        </is>
      </c>
      <c r="F3" s="7" t="inlineStr">
        <is>
          <t>MOBILE_AURACAST_SUPPORT</t>
        </is>
      </c>
      <c r="G3" s="7" t="inlineStr">
        <is>
          <t>ACCEPTED</t>
        </is>
      </c>
      <c r="H3" s="7" t="inlineStr">
        <is>
          <t>Высокое</t>
        </is>
      </c>
      <c r="I3" s="7" t="inlineStr">
        <is>
          <t>DECISIONS.md</t>
        </is>
      </c>
    </row>
    <row r="4">
      <c r="A4" s="7" t="inlineStr">
        <is>
          <t>D-012</t>
        </is>
      </c>
      <c r="B4" s="7" t="inlineStr">
        <is>
          <t>2026-09-26</t>
        </is>
      </c>
      <c r="C4" s="7" t="inlineStr">
        <is>
          <t>ASR питается от PCM до LC3</t>
        </is>
      </c>
      <c r="D4" s="7" t="inlineStr">
        <is>
          <t>Независимость от кодека; качество ASR</t>
        </is>
      </c>
      <c r="E4" s="7" t="inlineStr">
        <is>
          <t>Декодированный LC3 поток</t>
        </is>
      </c>
      <c r="F4" s="7" t="inlineStr">
        <is>
          <t>SYSTEM_ARCHITECTURE</t>
        </is>
      </c>
      <c r="G4" s="7" t="inlineStr">
        <is>
          <t>ACCEPTED</t>
        </is>
      </c>
      <c r="H4" s="7" t="inlineStr">
        <is>
          <t>Высокое</t>
        </is>
      </c>
      <c r="I4" s="7" t="inlineStr">
        <is>
          <t>DECISIONS.md</t>
        </is>
      </c>
    </row>
    <row r="5">
      <c r="A5" s="7" t="inlineStr">
        <is>
          <t>D-013</t>
        </is>
      </c>
      <c r="B5" s="7" t="inlineStr">
        <is>
          <t>2026-09-26</t>
        </is>
      </c>
      <c r="C5" s="7" t="inlineStr">
        <is>
          <t>24_2_1 — engineering baseline</t>
        </is>
      </c>
      <c r="D5" s="7" t="inlineStr">
        <is>
          <t>SIG-рекомендация HA-HQ</t>
        </is>
      </c>
      <c r="E5" s="7" t="inlineStr">
        <is>
          <t>16_2_1; 48 кГц</t>
        </is>
      </c>
      <c r="F5" s="7" t="inlineStr">
        <is>
          <t>LC3_CONFIGURATION_MATRIX</t>
        </is>
      </c>
      <c r="G5" s="7" t="inlineStr">
        <is>
          <t>ACCEPTED</t>
        </is>
      </c>
      <c r="H5" s="7" t="inlineStr">
        <is>
          <t>Среднее</t>
        </is>
      </c>
      <c r="I5" s="7" t="inlineStr">
        <is>
          <t>DECISIONS.md</t>
        </is>
      </c>
    </row>
    <row r="6">
      <c r="A6" s="7" t="inlineStr">
        <is>
          <t>D-014</t>
        </is>
      </c>
      <c r="B6" s="7" t="inlineStr">
        <is>
          <t>2026-09-26</t>
        </is>
      </c>
      <c r="C6" s="7" t="inlineStr">
        <is>
          <t>Latency ≤60 мс target; ≤100 acceptable</t>
        </is>
      </c>
      <c r="D6" s="7" t="inlineStr">
        <is>
          <t>Эхо при смешении с живым звуком</t>
        </is>
      </c>
      <c r="E6" s="7" t="inlineStr">
        <is>
          <t>≤300 мс (отклонено)</t>
        </is>
      </c>
      <c r="F6" s="7" t="inlineStr">
        <is>
          <t>LATENCY_DEEP_DIVE</t>
        </is>
      </c>
      <c r="G6" s="7" t="inlineStr">
        <is>
          <t>ACCEPTED</t>
        </is>
      </c>
      <c r="H6" s="7" t="inlineStr">
        <is>
          <t>Высокое</t>
        </is>
      </c>
      <c r="I6" s="7" t="inlineStr">
        <is>
          <t>DECISIONS.md</t>
        </is>
      </c>
    </row>
    <row r="7">
      <c r="A7" s="7" t="inlineStr">
        <is>
          <t>D-022</t>
        </is>
      </c>
      <c r="B7" s="7" t="inlineStr">
        <is>
          <t>2026-09-26</t>
        </is>
      </c>
      <c r="C7" s="7" t="inlineStr">
        <is>
          <t>Bridge-T не заявлен новизной (KNOWN_CLASS)</t>
        </is>
      </c>
      <c r="D7" s="7" t="inlineStr">
        <is>
          <t>Roger MyLink/NeckLoop, Auri, Bettear, AuraCoil</t>
        </is>
      </c>
      <c r="E7" s="7" t="inlineStr">
        <is>
          <t>Заявлять класс как новизну</t>
        </is>
      </c>
      <c r="F7" s="7" t="inlineStr">
        <is>
          <t>AURACAST_TELECOIL_PRIOR_ART</t>
        </is>
      </c>
      <c r="G7" s="7" t="inlineStr">
        <is>
          <t>ACCEPTED</t>
        </is>
      </c>
      <c r="H7" s="7" t="inlineStr">
        <is>
          <t>Высокое</t>
        </is>
      </c>
      <c r="I7" s="7" t="inlineStr">
        <is>
          <t>DECISIONS.md</t>
        </is>
      </c>
    </row>
    <row r="8">
      <c r="A8" s="7" t="inlineStr">
        <is>
          <t>D-021</t>
        </is>
      </c>
      <c r="B8" s="7" t="inlineStr">
        <is>
          <t>2026-09-26</t>
        </is>
      </c>
      <c r="C8" s="7" t="inlineStr">
        <is>
          <t>Clean-feed STT не является новизной</t>
        </is>
      </c>
      <c r="D8" s="7" t="inlineStr">
        <is>
          <t>Roger NeckLoop USB→STT (2021)</t>
        </is>
      </c>
      <c r="E8" s="7" t="inlineStr">
        <is>
          <t>Заявлять clean-feed как новизну</t>
        </is>
      </c>
      <c r="F8" s="7" t="inlineStr">
        <is>
          <t>PHONAK_ROGER</t>
        </is>
      </c>
      <c r="G8" s="7" t="inlineStr">
        <is>
          <t>ACCEPTED</t>
        </is>
      </c>
      <c r="H8" s="7" t="inlineStr">
        <is>
          <t>Высокое</t>
        </is>
      </c>
      <c r="I8" s="7" t="inlineStr">
        <is>
          <t>DECISIONS.md</t>
        </is>
      </c>
    </row>
    <row r="9">
      <c r="A9" s="7" t="inlineStr">
        <is>
          <t>D-020</t>
        </is>
      </c>
      <c r="B9" s="7" t="inlineStr">
        <is>
          <t>2026-09-26</t>
        </is>
      </c>
      <c r="C9" s="7" t="inlineStr">
        <is>
          <t>AUTHOR_COUNT = 1 (Никитин Д.К.)</t>
        </is>
      </c>
      <c r="D9" s="7" t="inlineStr">
        <is>
          <t>Единоличное авторство концепции</t>
        </is>
      </c>
      <c r="E9" s="7" t="inlineStr">
        <is>
          <t>Коллективное авторство</t>
        </is>
      </c>
      <c r="F9" s="7" t="inlineStr">
        <is>
          <t>AUTHORSHIP_POLICY</t>
        </is>
      </c>
      <c r="G9" s="7" t="inlineStr">
        <is>
          <t>ACCEPTED</t>
        </is>
      </c>
      <c r="H9" s="7" t="inlineStr">
        <is>
          <t>Среднее</t>
        </is>
      </c>
      <c r="I9" s="7" t="inlineStr">
        <is>
          <t>DECISIONS.md</t>
        </is>
      </c>
    </row>
    <row r="10">
      <c r="A10" s="7" t="inlineStr">
        <is>
          <t>D-024</t>
        </is>
      </c>
      <c r="B10" s="7" t="inlineStr">
        <is>
          <t>2026-09-26</t>
        </is>
      </c>
      <c r="C10" s="7" t="inlineStr">
        <is>
          <t>nRF5340 Audio DK ×2 — research stand</t>
        </is>
      </c>
      <c r="D10" s="7" t="inlineStr">
        <is>
          <t>Полный контроль LC3/QoS</t>
        </is>
      </c>
      <c r="E10" s="7" t="inlineStr">
        <is>
          <t>FMA120 + AuraClip</t>
        </is>
      </c>
      <c r="F10" s="7" t="inlineStr">
        <is>
          <t>PURCHASE_DECISION</t>
        </is>
      </c>
      <c r="G10" s="7" t="inlineStr">
        <is>
          <t>ACCEPTED</t>
        </is>
      </c>
      <c r="H10" s="7" t="inlineStr">
        <is>
          <t>Среднее</t>
        </is>
      </c>
      <c r="I10" s="7" t="inlineStr">
        <is>
          <t>DECISIONS.md</t>
        </is>
      </c>
    </row>
    <row r="11">
      <c r="A11" s="7" t="inlineStr">
        <is>
          <t>D-019</t>
        </is>
      </c>
      <c r="B11" s="7" t="inlineStr">
        <is>
          <t>2026-09-26</t>
        </is>
      </c>
      <c r="C11" s="7" t="inlineStr">
        <is>
          <t>Никаких фиктивных функций Auracast/AI</t>
        </is>
      </c>
      <c r="D11" s="7" t="inlineStr">
        <is>
          <t>Честность демонстрации</t>
        </is>
      </c>
      <c r="E11" s="7" t="inlineStr">
        <is>
          <t>Показать неработающие кнопки</t>
        </is>
      </c>
      <c r="F11" s="7" t="inlineStr">
        <is>
          <t>APP_MVP_SPEC</t>
        </is>
      </c>
      <c r="G11" s="7" t="inlineStr">
        <is>
          <t>ACCEPTED</t>
        </is>
      </c>
      <c r="H11" s="7" t="inlineStr">
        <is>
          <t>Среднее</t>
        </is>
      </c>
      <c r="I11" s="7" t="inlineStr">
        <is>
          <t>DECISIONS.md</t>
        </is>
      </c>
    </row>
  </sheetData>
  <autoFilter ref="A1:I11"/>
  <dataValidations count="1">
    <dataValidation sqref="G2:G11" showDropDown="0" showInputMessage="0" showErrorMessage="0" allowBlank="1" type="list">
      <formula1>"ACCEPTED,SUPERSEDED,REJECTED"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30" customHeight="1">
      <c r="A1" s="6" t="inlineStr">
        <is>
          <t>List</t>
        </is>
      </c>
      <c r="B1" s="6" t="inlineStr">
        <is>
          <t>Values</t>
        </is>
      </c>
    </row>
    <row r="2">
      <c r="A2" s="7" t="inlineStr">
        <is>
          <t>YN</t>
        </is>
      </c>
      <c r="B2" s="7" t="inlineStr">
        <is>
          <t>YES,NO,PARTIAL,UNKNOWN,PROPOSED</t>
        </is>
      </c>
    </row>
    <row r="3">
      <c r="A3" s="7" t="inlineStr">
        <is>
          <t>Statuses</t>
        </is>
      </c>
      <c r="B3" s="7" t="inlineStr">
        <is>
          <t>DONE,CURRENT,NEXT,FUTURE</t>
        </is>
      </c>
    </row>
    <row r="4">
      <c r="A4" s="7" t="inlineStr">
        <is>
          <t>Levels</t>
        </is>
      </c>
      <c r="B4" s="7" t="inlineStr">
        <is>
          <t>LOW,MEDIUM,HIGH</t>
        </is>
      </c>
    </row>
    <row r="5">
      <c r="A5" s="7" t="inlineStr">
        <is>
          <t>Experiment status</t>
        </is>
      </c>
      <c r="B5" s="7" t="inlineStr">
        <is>
          <t>NOT MEASURED,PLANNED,READY,READY-ON-HW,COMPLETED</t>
        </is>
      </c>
    </row>
    <row r="6">
      <c r="A6" s="7" t="inlineStr">
        <is>
          <t>Currencies</t>
        </is>
      </c>
      <c r="B6" s="7" t="inlineStr">
        <is>
          <t>USD,RUB,EUR</t>
        </is>
      </c>
    </row>
    <row r="7">
      <c r="A7" s="7" t="inlineStr">
        <is>
          <t>Price status</t>
        </is>
      </c>
      <c r="B7" s="7" t="inlineStr">
        <is>
          <t>SOURCE PRICE,ESTIMATE,NEEDS QUOTE,NOT PURCHASED</t>
        </is>
      </c>
    </row>
    <row r="8">
      <c r="A8" s="7" t="inlineStr">
        <is>
          <t>Role</t>
        </is>
      </c>
      <c r="B8" s="7" t="inlineStr">
        <is>
          <t>IMPLEMENTED_MVP,PROPOSED,RESEARCH,UNKNOWN</t>
        </is>
      </c>
    </row>
    <row r="9">
      <c r="A9" s="7" t="inlineStr">
        <is>
          <t>Conditions</t>
        </is>
      </c>
      <c r="B9" s="7" t="inlineStr">
        <is>
          <t>A quiet / near,B far row,C background noise,D reverberation,E noise + distance</t>
        </is>
      </c>
    </row>
    <row r="10">
      <c r="A10" s="7" t="inlineStr">
        <is>
          <t>Channels</t>
        </is>
      </c>
      <c r="B10" s="7" t="inlineStr">
        <is>
          <t>CLEAN_FEED,PHONE_MIC</t>
        </is>
      </c>
    </row>
    <row r="11">
      <c r="A11" s="7" t="inlineStr">
        <is>
          <t>ASR models</t>
        </is>
      </c>
      <c r="B11" s="7" t="inlineStr">
        <is>
          <t>T-one,GigaAM-v3 RNNT,faster-whisper,Vosk</t>
        </is>
      </c>
    </row>
  </sheetData>
  <autoFilter ref="A1:B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2026-09-26T18:47:00Z</dcterms:created>
  <dcterms:modified xmlns:dcterms="http://purl.org/dc/terms/" xmlns:xsi="http://www.w3.org/2001/XMLSchema-instance" xsi:type="dcterms:W3CDTF">2026-09-26T18:47:00Z</dcterms:modified>
</cp:coreProperties>
</file>