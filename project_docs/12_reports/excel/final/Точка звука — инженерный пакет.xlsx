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Дашборд" sheetId="1" r:id="rId5"/>
    <sheet state="visible" name="01_Аналоги" sheetId="2" r:id="rId6"/>
    <sheet state="visible" name="02_BOM" sheetId="3" r:id="rId7"/>
    <sheet state="visible" name="03_Закупка" sheetId="4" r:id="rId8"/>
    <sheet state="visible" name="04_Эксперименты" sheetId="5" r:id="rId9"/>
    <sheet state="visible" name="05_E05_ASR" sheetId="6" r:id="rId10"/>
    <sheet state="visible" name="06_Риски" sheetId="7" r:id="rId11"/>
    <sheet state="visible" name="07_Roadmap" sheetId="8" r:id="rId12"/>
    <sheet state="visible" name="08_Источники" sheetId="9" r:id="rId13"/>
    <sheet state="visible" name="09_Решения" sheetId="10" r:id="rId14"/>
  </sheets>
  <definedNames>
    <definedName hidden="1" localSheetId="1" name="_xlnm._FilterDatabase">'01_Аналоги'!$A$1:$AJ$11</definedName>
    <definedName hidden="1" localSheetId="2" name="_xlnm._FilterDatabase">'02_BOM'!$A$1:$S$13</definedName>
    <definedName hidden="1" localSheetId="3" name="_xlnm._FilterDatabase">'03_Закупка'!$A$1:$L$8</definedName>
    <definedName hidden="1" localSheetId="4" name="_xlnm._FilterDatabase">'04_Эксперименты'!$A$1:$U$6</definedName>
    <definedName hidden="1" localSheetId="5" name="_xlnm._FilterDatabase">'05_E05_ASR'!$A$1:$V$11</definedName>
    <definedName hidden="1" localSheetId="6" name="_xlnm._FilterDatabase">'06_Риски'!$A$1:$L$11</definedName>
    <definedName hidden="1" localSheetId="7" name="_xlnm._FilterDatabase">'07_Roadmap'!$A$1:$H$17</definedName>
    <definedName hidden="1" localSheetId="8" name="_xlnm._FilterDatabase">'08_Источники'!$A$1:$N$14</definedName>
    <definedName hidden="1" localSheetId="9" name="_xlnm._FilterDatabase">'09_Решения'!$A$1:$I$9</definedName>
  </definedNames>
  <calcPr/>
</workbook>
</file>

<file path=xl/sharedStrings.xml><?xml version="1.0" encoding="utf-8"?>
<sst xmlns="http://schemas.openxmlformats.org/spreadsheetml/2006/main" count="1353" uniqueCount="680">
  <si>
    <t>Scenario</t>
  </si>
  <si>
    <t>Точка звука / Инклюзивный маршрут+ — инженерный пакет</t>
  </si>
  <si>
    <t>Item ID</t>
  </si>
  <si>
    <t>Подсистема</t>
  </si>
  <si>
    <t>Позиция</t>
  </si>
  <si>
    <t>Qty</t>
  </si>
  <si>
    <t>Валюта</t>
  </si>
  <si>
    <t>Производитель</t>
  </si>
  <si>
    <t>Cost</t>
  </si>
  <si>
    <t>Модель</t>
  </si>
  <si>
    <t>Mandatory?</t>
  </si>
  <si>
    <t>Назначение</t>
  </si>
  <si>
    <t>Why</t>
  </si>
  <si>
    <t>Blocks experiment?</t>
  </si>
  <si>
    <t>Обяз./Опц.</t>
  </si>
  <si>
    <t>Автор</t>
  </si>
  <si>
    <t>Priority</t>
  </si>
  <si>
    <t>Кол-во</t>
  </si>
  <si>
    <t>Source</t>
  </si>
  <si>
    <t>Status</t>
  </si>
  <si>
    <t>Ед.</t>
  </si>
  <si>
    <t>Unit Price</t>
  </si>
  <si>
    <t>Никитин Даниил Константинович</t>
  </si>
  <si>
    <t>A_RESEARCH</t>
  </si>
  <si>
    <t>AUTHOR_COUNT</t>
  </si>
  <si>
    <t>B01</t>
  </si>
  <si>
    <t>Estimated Total</t>
  </si>
  <si>
    <t>2× nRF5340 Audio DK</t>
  </si>
  <si>
    <t>CURRENT GATE</t>
  </si>
  <si>
    <t>USD</t>
  </si>
  <si>
    <t>Price Status</t>
  </si>
  <si>
    <t>YES</t>
  </si>
  <si>
    <t>Price Date</t>
  </si>
  <si>
    <t>Управляемый research stand</t>
  </si>
  <si>
    <t>6B-3</t>
  </si>
  <si>
    <t>HIGH</t>
  </si>
  <si>
    <t>PURCHASE_DECISION</t>
  </si>
  <si>
    <t>NOT PURCHASED</t>
  </si>
  <si>
    <t>Purchased?</t>
  </si>
  <si>
    <t>Статусы</t>
  </si>
  <si>
    <t>B02</t>
  </si>
  <si>
    <t>Existing?</t>
  </si>
  <si>
    <t>Микрофон / clean source</t>
  </si>
  <si>
    <t>Experiment IDs</t>
  </si>
  <si>
    <t>Примечание</t>
  </si>
  <si>
    <t>Нужен для чистого входа</t>
  </si>
  <si>
    <t>RESEARCH STAND</t>
  </si>
  <si>
    <t>Software MVP</t>
  </si>
  <si>
    <t>E01/E05</t>
  </si>
  <si>
    <t>Auracast development kit</t>
  </si>
  <si>
    <t>IMPLEMENTED</t>
  </si>
  <si>
    <t>NEEDS QUOTE</t>
  </si>
  <si>
    <t>Nordic Semiconductor</t>
  </si>
  <si>
    <t>Real ASR</t>
  </si>
  <si>
    <t>B06</t>
  </si>
  <si>
    <t>PLANNED</t>
  </si>
  <si>
    <t>Осциллограф / аудиоинтерфейс</t>
  </si>
  <si>
    <t>Измерение latency</t>
  </si>
  <si>
    <t>Auracast hardware</t>
  </si>
  <si>
    <t>E01</t>
  </si>
  <si>
    <t>ACCESS/QUOTE</t>
  </si>
  <si>
    <t>Bridge-T hardware</t>
  </si>
  <si>
    <t>B_DEMO</t>
  </si>
  <si>
    <t>PLANNED / RESEARCH</t>
  </si>
  <si>
    <t>B07</t>
  </si>
  <si>
    <t>FlooGoo FMA120</t>
  </si>
  <si>
    <t>NO</t>
  </si>
  <si>
    <t>Быстрый Auracast demo</t>
  </si>
  <si>
    <t>MEDIUM</t>
  </si>
  <si>
    <t>OPTIONAL</t>
  </si>
  <si>
    <t>nRF5340 Audio DK</t>
  </si>
  <si>
    <t>B08</t>
  </si>
  <si>
    <t>Avantree AuraClip</t>
  </si>
  <si>
    <t>Source + Sink; контроль LC3/QoS/firmware</t>
  </si>
  <si>
    <t>Experimental measurements</t>
  </si>
  <si>
    <t>NOT MEASURED</t>
  </si>
  <si>
    <t>Быстрый sink для demo</t>
  </si>
  <si>
    <t>Article</t>
  </si>
  <si>
    <t>FINAL</t>
  </si>
  <si>
    <t>Presentation</t>
  </si>
  <si>
    <t>C_E05</t>
  </si>
  <si>
    <t>FINAL / CURRENT</t>
  </si>
  <si>
    <t>B05</t>
  </si>
  <si>
    <t>PC / laptop</t>
  </si>
  <si>
    <t>Сводка</t>
  </si>
  <si>
    <t>Local ASR + Route+</t>
  </si>
  <si>
    <t>E05</t>
  </si>
  <si>
    <t>Аналогов</t>
  </si>
  <si>
    <t>EXISTING</t>
  </si>
  <si>
    <t>B12</t>
  </si>
  <si>
    <t>Смартфон</t>
  </si>
  <si>
    <t>PHONE_MIC сравнение</t>
  </si>
  <si>
    <t>ID</t>
  </si>
  <si>
    <t>REQUIRED</t>
  </si>
  <si>
    <t>Решение</t>
  </si>
  <si>
    <t>шт.</t>
  </si>
  <si>
    <t>Известная числовая сумма USD</t>
  </si>
  <si>
    <t>Статус</t>
  </si>
  <si>
    <t>ESTIMATE_BUNDLE</t>
  </si>
  <si>
    <t>Целевые пользователи</t>
  </si>
  <si>
    <t>Образование</t>
  </si>
  <si>
    <t>Микрофон преподавателя</t>
  </si>
  <si>
    <t>Беспроводная технология</t>
  </si>
  <si>
    <t>FM</t>
  </si>
  <si>
    <t>Проприетарный цифровой</t>
  </si>
  <si>
    <t>Auracast</t>
  </si>
  <si>
    <t>Спец. приёмник</t>
  </si>
  <si>
    <t>Массовые Auracast-устройства</t>
  </si>
  <si>
    <t>E01,E03,E04,E07</t>
  </si>
  <si>
    <t>Прямой путь в СА/КИ</t>
  </si>
  <si>
    <t>Отчёт Gate 6A: ориентир за 2 шт.; перед закупкой обновить цену</t>
  </si>
  <si>
    <t>T-coil</t>
  </si>
  <si>
    <t>Neckloop</t>
  </si>
  <si>
    <t>BOM-позиций</t>
  </si>
  <si>
    <t>Clean audio output</t>
  </si>
  <si>
    <t>Микрофон / clean audio source</t>
  </si>
  <si>
    <t>USB audio output</t>
  </si>
  <si>
    <t>Speech-to-text</t>
  </si>
  <si>
    <t>TBD</t>
  </si>
  <si>
    <t>Позиции NEEDS QUOTE / ACCESS</t>
  </si>
  <si>
    <t>Чистый фид преподавателя</t>
  </si>
  <si>
    <t>Same-source STT</t>
  </si>
  <si>
    <t>Live captions</t>
  </si>
  <si>
    <t>Timestamped transcript</t>
  </si>
  <si>
    <t>компл.</t>
  </si>
  <si>
    <t>Missed Speech</t>
  </si>
  <si>
    <t>Заметки</t>
  </si>
  <si>
    <t>NEEDS_QUOTE</t>
  </si>
  <si>
    <t>Перевод</t>
  </si>
  <si>
    <t>AI summary</t>
  </si>
  <si>
    <t>EXPERIMENT_READINESS</t>
  </si>
  <si>
    <t>Confidence handling</t>
  </si>
  <si>
    <t>Accessibility profile</t>
  </si>
  <si>
    <t>Экспериментов</t>
  </si>
  <si>
    <t>Аудио без Интернета</t>
  </si>
  <si>
    <t>UNKNOWN</t>
  </si>
  <si>
    <t>E01,E05</t>
  </si>
  <si>
    <t>Текст без Интернета</t>
  </si>
  <si>
    <t>Выбрать после схемы стенда</t>
  </si>
  <si>
    <t>Нужен спец. приёмник</t>
  </si>
  <si>
    <t>B03</t>
  </si>
  <si>
    <t>Сильная сторона</t>
  </si>
  <si>
    <t>Ограничение</t>
  </si>
  <si>
    <t>3.5 mm cables / adapters</t>
  </si>
  <si>
    <t>Source ID</t>
  </si>
  <si>
    <t>Качество доказательств</t>
  </si>
  <si>
    <t>Аудиосоединения стенда</t>
  </si>
  <si>
    <t>HIGH risks</t>
  </si>
  <si>
    <t>A01</t>
  </si>
  <si>
    <t>СОНЕТ 2.0</t>
  </si>
  <si>
    <t>Исток-Аудио</t>
  </si>
  <si>
    <t>CURRENT</t>
  </si>
  <si>
    <t>Пользователи СА/КИ, учащиеся</t>
  </si>
  <si>
    <t>E01,E04,E07</t>
  </si>
  <si>
    <t>B04</t>
  </si>
  <si>
    <t>USB cables</t>
  </si>
  <si>
    <t>Питание / отладка devkit</t>
  </si>
  <si>
    <t>Actual measurements</t>
  </si>
  <si>
    <t>E01,E03,E04</t>
  </si>
  <si>
    <t>UHF FM</t>
  </si>
  <si>
    <t>ASR EXPERIMENT</t>
  </si>
  <si>
    <t>Existing</t>
  </si>
  <si>
    <t>Запуск Local ASR и Route+</t>
  </si>
  <si>
    <t>NEXT</t>
  </si>
  <si>
    <t>Hardware stand + Local ASR + E01/E03/E04/E05/E07</t>
  </si>
  <si>
    <t>E05 protocol</t>
  </si>
  <si>
    <t>Не считать закупкой</t>
  </si>
  <si>
    <t>MEASUREMENT</t>
  </si>
  <si>
    <t>PARTIAL</t>
  </si>
  <si>
    <t>Осциллограф или аудиоинтерфейс</t>
  </si>
  <si>
    <t>Измерение end-to-end latency</t>
  </si>
  <si>
    <t>E01 protocol</t>
  </si>
  <si>
    <t>Можно использовать доступное лабораторное оборудование</t>
  </si>
  <si>
    <t>LOW-COST DEMO</t>
  </si>
  <si>
    <t>Auracast source dongle</t>
  </si>
  <si>
    <t>FlooGoo</t>
  </si>
  <si>
    <t>FMA120</t>
  </si>
  <si>
    <t>Быстрый демонстрационный source</t>
  </si>
  <si>
    <t>Образовательный remote-mic сценарий; обход шума и расстояния</t>
  </si>
  <si>
    <t>Закрытый канал и спец. приёмник; нет цифрового текстового слоя</t>
  </si>
  <si>
    <t>SRC05</t>
  </si>
  <si>
    <t>ESTIMATE_RANGE</t>
  </si>
  <si>
    <t>Аудио-половина близка к задаче проекта</t>
  </si>
  <si>
    <t>A02</t>
  </si>
  <si>
    <t>Phonak Roger ecosystem</t>
  </si>
  <si>
    <t>Phonak</t>
  </si>
  <si>
    <t>DEMO</t>
  </si>
  <si>
    <t>В паре с AuraClip ориентир комплекта &lt;150–250 USD по отчёту Gate 6A</t>
  </si>
  <si>
    <t>Roger 2.4 GHz</t>
  </si>
  <si>
    <t>Auracast receiver</t>
  </si>
  <si>
    <t>Avantree</t>
  </si>
  <si>
    <t>AuraClip</t>
  </si>
  <si>
    <t>Быстрый демонстрационный sink</t>
  </si>
  <si>
    <t>Альтернатива research stand, не замена измерительному devkit</t>
  </si>
  <si>
    <t>B09</t>
  </si>
  <si>
    <t>Auracast alternative</t>
  </si>
  <si>
    <t>MoerLink</t>
  </si>
  <si>
    <t>Альтернативный demo-вариант</t>
  </si>
  <si>
    <t>Сильная экосистема удалённых микрофонов и приёмников</t>
  </si>
  <si>
    <t>Проприетарная экосистема</t>
  </si>
  <si>
    <t>Не покупать одновременно без необходимости</t>
  </si>
  <si>
    <t>SRC03</t>
  </si>
  <si>
    <t>B10</t>
  </si>
  <si>
    <t>STT зависит от конфигурации, особенно NeckLoop</t>
  </si>
  <si>
    <t>BRIDGE-T</t>
  </si>
  <si>
    <t>Neckloop / induction accessory</t>
  </si>
  <si>
    <t>A03</t>
  </si>
  <si>
    <t>NKL 001 / HearCoil</t>
  </si>
  <si>
    <t>E07: передача в T/MT</t>
  </si>
  <si>
    <t>E07 protocol</t>
  </si>
  <si>
    <t>E07</t>
  </si>
  <si>
    <t>Точная модель TBD</t>
  </si>
  <si>
    <t>Roger NeckLoop</t>
  </si>
  <si>
    <t>B11</t>
  </si>
  <si>
    <t>СА/КИ с T/MT</t>
  </si>
  <si>
    <t>Пользователи устройств с T-coil</t>
  </si>
  <si>
    <t>Existing / borrowed</t>
  </si>
  <si>
    <t>Проверка E07</t>
  </si>
  <si>
    <t>ACCESS_REQUIRED</t>
  </si>
  <si>
    <t>Не закупать без необходимости</t>
  </si>
  <si>
    <t>PHONE_MIC канал в E05</t>
  </si>
  <si>
    <t>Позиция студента</t>
  </si>
  <si>
    <t>T-coil + USB audio interface; чистый микрофонный фид</t>
  </si>
  <si>
    <t>Для текста требуется стороннее STT-приложение</t>
  </si>
  <si>
    <t>SRC04</t>
  </si>
  <si>
    <t>Критический prior art для clean-feed → STT</t>
  </si>
  <si>
    <t>A04</t>
  </si>
  <si>
    <t>Roger MyLink</t>
  </si>
  <si>
    <t>LEGACY</t>
  </si>
  <si>
    <t>Roger</t>
  </si>
  <si>
    <t>Универсальный T-coil neckloop-приёмник</t>
  </si>
  <si>
    <t>Legacy/EOL; без USB audio</t>
  </si>
  <si>
    <t>Предшествующий аналог класса Bridge-T</t>
  </si>
  <si>
    <t>A05</t>
  </si>
  <si>
    <t>Auri</t>
  </si>
  <si>
    <t>Listen Technologies / Ampetronic</t>
  </si>
  <si>
    <t>Посетители площадок, пользователи СА/КИ</t>
  </si>
  <si>
    <t>Auracast / LE Audio</t>
  </si>
  <si>
    <t>Auracast ALS для площадок</t>
  </si>
  <si>
    <t>Цифровой текстовый слой не является ядром</t>
  </si>
  <si>
    <t>SRC10</t>
  </si>
  <si>
    <t>Проверять конкретную конфигурацию площадки</t>
  </si>
  <si>
    <t>A06</t>
  </si>
  <si>
    <t>Bettear</t>
  </si>
  <si>
    <t>Посетители площадок, слабослышащие</t>
  </si>
  <si>
    <t>Auracast / venue accessibility</t>
  </si>
  <si>
    <t>Аудио + элементы текстовой доступности</t>
  </si>
  <si>
    <t>Нужно уточнять функции конкретного продукта/развёртывания</t>
  </si>
  <si>
    <t>SRC11</t>
  </si>
  <si>
    <t>Близкий класс гибридных решений</t>
  </si>
  <si>
    <t>A07</t>
  </si>
  <si>
    <t>HearAura</t>
  </si>
  <si>
    <t>—</t>
  </si>
  <si>
    <t>CURRENT/VERIFY</t>
  </si>
  <si>
    <t>Пользователи с потребностью в captions</t>
  </si>
  <si>
    <t>Auracast + app, по отчёту</t>
  </si>
  <si>
    <t>Связка беспроводного аудио и captions</t>
  </si>
  <si>
    <t>Требует дополнительной первичной проверки</t>
  </si>
  <si>
    <t>SRC12</t>
  </si>
  <si>
    <t>LOW</t>
  </si>
  <si>
    <t>Не использовать сильные утверждения без перепроверки</t>
  </si>
  <si>
    <t>A08</t>
  </si>
  <si>
    <t>Ava</t>
  </si>
  <si>
    <t>Пользователи, которым нужны субтитры</t>
  </si>
  <si>
    <t>Mobile / cloud app</t>
  </si>
  <si>
    <t>Сильный captioning UX</t>
  </si>
  <si>
    <t>Нет персонального Auracast-аудиотракта</t>
  </si>
  <si>
    <t>SRC13</t>
  </si>
  <si>
    <t>Текстовый конкурент, не ALS</t>
  </si>
  <si>
    <t>A09</t>
  </si>
  <si>
    <t>Google Live Transcribe</t>
  </si>
  <si>
    <t>Google</t>
  </si>
  <si>
    <t>Пользователи Android, нуждающиеся в субтитрах</t>
  </si>
  <si>
    <t>Android app</t>
  </si>
  <si>
    <t>Доступный мобильный STT</t>
  </si>
  <si>
    <t>Нет персонального аудиоканала от преподавателя</t>
  </si>
  <si>
    <t>SRC06</t>
  </si>
  <si>
    <t>Официальная Android-документация</t>
  </si>
  <si>
    <t>A10</t>
  </si>
  <si>
    <t>Точка звука / Route+</t>
  </si>
  <si>
    <t>Никитин Д.К.</t>
  </si>
  <si>
    <t>PROPOSED/MVP</t>
  </si>
  <si>
    <t>СА/КИ + широкая аудитория</t>
  </si>
  <si>
    <t>PROPOSED</t>
  </si>
  <si>
    <t>Auracast + data layer</t>
  </si>
  <si>
    <t>IMPLEMENTED_MVP</t>
  </si>
  <si>
    <t>FUTURE</t>
  </si>
  <si>
    <t>RESEARCH</t>
  </si>
  <si>
    <t>Experiment ID</t>
  </si>
  <si>
    <t>Название</t>
  </si>
  <si>
    <t>Цель</t>
  </si>
  <si>
    <t>Единая образовательная сессия: звук + синхронный текст + recovery UX</t>
  </si>
  <si>
    <t>Hardware и реальный ASR ещё не измерены/не внедрены</t>
  </si>
  <si>
    <t>SRC00</t>
  </si>
  <si>
    <t>INTERNAL</t>
  </si>
  <si>
    <t>Hardware Required</t>
  </si>
  <si>
    <t>Не выдавать proposed за серийный продукт</t>
  </si>
  <si>
    <t>Software Required</t>
  </si>
  <si>
    <t>Input</t>
  </si>
  <si>
    <t>Output</t>
  </si>
  <si>
    <t>Primary Metric</t>
  </si>
  <si>
    <t>Secondary Metrics</t>
  </si>
  <si>
    <t>Independent Variables</t>
  </si>
  <si>
    <t>Controlled Variables</t>
  </si>
  <si>
    <t>Repetitions</t>
  </si>
  <si>
    <t>Acceptance Criterion</t>
  </si>
  <si>
    <t>CSV File</t>
  </si>
  <si>
    <t>Responsible</t>
  </si>
  <si>
    <t>Planned Date</t>
  </si>
  <si>
    <t>Actual Date</t>
  </si>
  <si>
    <t>Result Status</t>
  </si>
  <si>
    <t>Result</t>
  </si>
  <si>
    <t>Notes</t>
  </si>
  <si>
    <t>End-to-end audio latency</t>
  </si>
  <si>
    <t>Измерить задержку тракта Source→Auracast→Sink</t>
  </si>
  <si>
    <t>READY-ON-HW</t>
  </si>
  <si>
    <t>2×nRF5340 DK + measurement</t>
  </si>
  <si>
    <t>Measurement script</t>
  </si>
  <si>
    <t>Тестовый импульс/сигнал</t>
  </si>
  <si>
    <t>Временная разница</t>
  </si>
  <si>
    <t>Latency, ms</t>
  </si>
  <si>
    <t>jitter / repeatability</t>
  </si>
  <si>
    <t>LC3 config / path</t>
  </si>
  <si>
    <t>Одинаковый сигнал, стенд</t>
  </si>
  <si>
    <t>TARGET ≤60 ms; acceptable ≤100 ms; &gt;150 ms reject</t>
  </si>
  <si>
    <t>E01_latency.csv</t>
  </si>
  <si>
    <t>TARGET, не результат</t>
  </si>
  <si>
    <t>E03</t>
  </si>
  <si>
    <t>Stability</t>
  </si>
  <si>
    <t>Оценить стабильность передачи</t>
  </si>
  <si>
    <t>Trial ID</t>
  </si>
  <si>
    <t>Auracast source/sink</t>
  </si>
  <si>
    <t>Logging</t>
  </si>
  <si>
    <t>Speech Material ID</t>
  </si>
  <si>
    <t>Непрерывный аудиопоток</t>
  </si>
  <si>
    <t>Лог стабильности</t>
  </si>
  <si>
    <t>Dropout / loss metric</t>
  </si>
  <si>
    <t>Condition</t>
  </si>
  <si>
    <t>reconnects / duration</t>
  </si>
  <si>
    <t>distance / environment</t>
  </si>
  <si>
    <t>Distance</t>
  </si>
  <si>
    <t>Конфигурация стенда</t>
  </si>
  <si>
    <t>Noise Condition</t>
  </si>
  <si>
    <t>По протоколу EXPERIMENT_READINESS_GATE6</t>
  </si>
  <si>
    <t>E03_stability.csv</t>
  </si>
  <si>
    <t>Reverberation Condition</t>
  </si>
  <si>
    <t>Channel</t>
  </si>
  <si>
    <t>ASR Model</t>
  </si>
  <si>
    <t>E04</t>
  </si>
  <si>
    <t>Reference Text</t>
  </si>
  <si>
    <t>LC3 configuration comparison</t>
  </si>
  <si>
    <t>Сравнить конфигурации LC3</t>
  </si>
  <si>
    <t>Recognized Text</t>
  </si>
  <si>
    <t>Word Count Reference</t>
  </si>
  <si>
    <t>2×nRF5340 DK</t>
  </si>
  <si>
    <t>Substitutions</t>
  </si>
  <si>
    <t>Firmware/config logging</t>
  </si>
  <si>
    <t>Один speech material</t>
  </si>
  <si>
    <t>Deletions</t>
  </si>
  <si>
    <t>Latency/quality/loss</t>
  </si>
  <si>
    <t>Latency + quality</t>
  </si>
  <si>
    <t>Insertions</t>
  </si>
  <si>
    <t>packet loss / bitrate</t>
  </si>
  <si>
    <t>LC3 configuration</t>
  </si>
  <si>
    <t>Speech material / stand</t>
  </si>
  <si>
    <t>WER</t>
  </si>
  <si>
    <t>24_2_1 = baseline, не winner</t>
  </si>
  <si>
    <t>E04_lc3.csv</t>
  </si>
  <si>
    <t>Character Errors</t>
  </si>
  <si>
    <t>Reference Characters</t>
  </si>
  <si>
    <t>CER</t>
  </si>
  <si>
    <t>Caption Start Latency ms</t>
  </si>
  <si>
    <t>Baseline 24 kHz / 10 ms / 60 octets / 48 kbps</t>
  </si>
  <si>
    <t>Finalization Latency ms</t>
  </si>
  <si>
    <t>Partial Revisions</t>
  </si>
  <si>
    <t>Clean-feed vs phone ASR</t>
  </si>
  <si>
    <t>Сравнить распознавание чистого фида и микрофона смартфона</t>
  </si>
  <si>
    <t>READY</t>
  </si>
  <si>
    <t>T01</t>
  </si>
  <si>
    <t>PC + smartphone + clean feed</t>
  </si>
  <si>
    <t>SM01</t>
  </si>
  <si>
    <t>Один speech material в A–E</t>
  </si>
  <si>
    <t>Transcript events</t>
  </si>
  <si>
    <t>CER; caption latency; finalization latency</t>
  </si>
  <si>
    <t>Channel / condition / ASR model</t>
  </si>
  <si>
    <t>A</t>
  </si>
  <si>
    <t>Speech material</t>
  </si>
  <si>
    <t>near</t>
  </si>
  <si>
    <t>quiet</t>
  </si>
  <si>
    <t>Сравнение по WER/CER; без заранее заданного winner</t>
  </si>
  <si>
    <t>low</t>
  </si>
  <si>
    <t>E05_asr.csv</t>
  </si>
  <si>
    <t>T-one + GigaAM-v3 RNNT рекомендованы к эксперименту</t>
  </si>
  <si>
    <t>CLEAN_FEED</t>
  </si>
  <si>
    <t>Bridge-T</t>
  </si>
  <si>
    <t>Проверить тракт Auracast sink→induction→T/MT</t>
  </si>
  <si>
    <t>Sink + neckloop/inductor + T/MT device</t>
  </si>
  <si>
    <t>Logging / measurement</t>
  </si>
  <si>
    <t>Аудиосигнал</t>
  </si>
  <si>
    <t>Приём через T/MT</t>
  </si>
  <si>
    <t>Transfer / usability metric</t>
  </si>
  <si>
    <t>T-one</t>
  </si>
  <si>
    <t>latency / level / stability</t>
  </si>
  <si>
    <t>geometry / level</t>
  </si>
  <si>
    <t>Same source</t>
  </si>
  <si>
    <t>По E07 protocol</t>
  </si>
  <si>
    <t>E07_bridge_t.csv</t>
  </si>
  <si>
    <t>Bridge-T как класс не заявляется новизной</t>
  </si>
  <si>
    <t>T02</t>
  </si>
  <si>
    <t>PHONE_MIC</t>
  </si>
  <si>
    <t>T03</t>
  </si>
  <si>
    <t>B</t>
  </si>
  <si>
    <t>far row</t>
  </si>
  <si>
    <t>room</t>
  </si>
  <si>
    <t>T04</t>
  </si>
  <si>
    <t>T05</t>
  </si>
  <si>
    <t>C</t>
  </si>
  <si>
    <t>background noise</t>
  </si>
  <si>
    <t>T06</t>
  </si>
  <si>
    <t>T07</t>
  </si>
  <si>
    <t>D</t>
  </si>
  <si>
    <t>reverberant</t>
  </si>
  <si>
    <t>T08</t>
  </si>
  <si>
    <t>T09</t>
  </si>
  <si>
    <t>E</t>
  </si>
  <si>
    <t>T10</t>
  </si>
  <si>
    <t>Risk ID</t>
  </si>
  <si>
    <t>Категория</t>
  </si>
  <si>
    <t>Риск</t>
  </si>
  <si>
    <t>Evidence</t>
  </si>
  <si>
    <t>Probability</t>
  </si>
  <si>
    <t>Impact</t>
  </si>
  <si>
    <t>Mitigation</t>
  </si>
  <si>
    <t>Trigger</t>
  </si>
  <si>
    <t>Owner</t>
  </si>
  <si>
    <t>R01</t>
  </si>
  <si>
    <t>PRIOR ART</t>
  </si>
  <si>
    <t>Roger NeckLoop USB→STT (2021) обесценивает clean-feed как новизну</t>
  </si>
  <si>
    <t>GATE 5.5/6A</t>
  </si>
  <si>
    <t>Позиционировать clean-feed как известный принцип</t>
  </si>
  <si>
    <t>Эксперт указывает на Roger</t>
  </si>
  <si>
    <t>OPEN</t>
  </si>
  <si>
    <t>ANALOG_RED_TEAM</t>
  </si>
  <si>
    <t>R02</t>
  </si>
  <si>
    <t>Bridge-T находится в плотном известном классе</t>
  </si>
  <si>
    <t>MyLink/NeckLoop/Auri/AuraCoil</t>
  </si>
  <si>
    <t>Не заявлять новизну класса; исследовать конкретную реализацию</t>
  </si>
  <si>
    <t>Сравнение с neckloop</t>
  </si>
  <si>
    <t>R03</t>
  </si>
  <si>
    <t>COMPETITION</t>
  </si>
  <si>
    <t>Bettear/HearAura уже объединяют аудио и текст</t>
  </si>
  <si>
    <t>GATE 6A</t>
  </si>
  <si>
    <t>Фокус на системных свойствах и измерениях</t>
  </si>
  <si>
    <t>Найден близкий hybrid workflow</t>
  </si>
  <si>
    <t>R04</t>
  </si>
  <si>
    <t>Missed Speech имеет предшественника</t>
  </si>
  <si>
    <t>Bionica 2007</t>
  </si>
  <si>
    <t>Этап</t>
  </si>
  <si>
    <t>Использовать как UX differentiation, не patent novelty</t>
  </si>
  <si>
    <t>Патентный claim chart</t>
  </si>
  <si>
    <t>Prerequisite</t>
  </si>
  <si>
    <t>Deliverable</t>
  </si>
  <si>
    <t>MISSED_SPEECH_PRIOR_ART</t>
  </si>
  <si>
    <t>Start</t>
  </si>
  <si>
    <t>R05</t>
  </si>
  <si>
    <t>IP</t>
  </si>
  <si>
    <t>Finish</t>
  </si>
  <si>
    <t>Патентный поиск неполный</t>
  </si>
  <si>
    <t>Google Patents/лаг публикаций</t>
  </si>
  <si>
    <t>Профессиональный поиск на Gate 7</t>
  </si>
  <si>
    <t>Перед RID/патентными заявлениями</t>
  </si>
  <si>
    <t>R06</t>
  </si>
  <si>
    <t>Source audit</t>
  </si>
  <si>
    <t>ECOSYSTEM</t>
  </si>
  <si>
    <t>Малый парк HA/CI с нативным Auracast</t>
  </si>
  <si>
    <t>GATE 6A device review</t>
  </si>
  <si>
    <t>Bridge-T + consumer earbuds + text-only path</t>
  </si>
  <si>
    <t>Пилот показывает низкую совместимость</t>
  </si>
  <si>
    <t>MOBILE_AURACAST_SUPPORT</t>
  </si>
  <si>
    <t>R07</t>
  </si>
  <si>
    <t>COMPATIBILITY</t>
  </si>
  <si>
    <t>Фрагментация Auracast support между устройствами</t>
  </si>
  <si>
    <t>GATE 2/3/4A</t>
  </si>
  <si>
    <t>DONE</t>
  </si>
  <si>
    <t>Чёткая compatibility matrix и тестовый список</t>
  </si>
  <si>
    <t>Неудачное подключение устройства</t>
  </si>
  <si>
    <t>Legacy/source audit</t>
  </si>
  <si>
    <t>AURACAST_SUPPORT</t>
  </si>
  <si>
    <t>R08</t>
  </si>
  <si>
    <t>GATE 1</t>
  </si>
  <si>
    <t>CLAIMS</t>
  </si>
  <si>
    <t>TARGET может быть ошибочно выдан за RESULT</t>
  </si>
  <si>
    <t>Standards research</t>
  </si>
  <si>
    <t>Red team</t>
  </si>
  <si>
    <t>Standards/evidence report</t>
  </si>
  <si>
    <t>Маркировать TARGET/BASELINE/NOT MEASURED</t>
  </si>
  <si>
    <t>Слайд содержит число без статуса</t>
  </si>
  <si>
    <t>PRESENTATION_QA</t>
  </si>
  <si>
    <t>R09</t>
  </si>
  <si>
    <t>EVIDENCE</t>
  </si>
  <si>
    <t>Нет собственных hardware measurements</t>
  </si>
  <si>
    <t>E01–E10 не проведены</t>
  </si>
  <si>
    <t>Провести E01/E03/E04/E05/E07</t>
  </si>
  <si>
    <t>Эксперт спрашивает измерения</t>
  </si>
  <si>
    <t>R10</t>
  </si>
  <si>
    <t>HARDWARE</t>
  </si>
  <si>
    <t>Competitor &amp; prior art analysis</t>
  </si>
  <si>
    <t>Зависимость от совместимого Auracast receiver hardware</t>
  </si>
  <si>
    <t>Procurement decision</t>
  </si>
  <si>
    <t>SONET/Roger/Auracast analysis</t>
  </si>
  <si>
    <t>Research devkit + low-cost backup</t>
  </si>
  <si>
    <t>Software MVP Route+</t>
  </si>
  <si>
    <t>Недоступность/несовместимость devkit</t>
  </si>
  <si>
    <t>Architecture freeze</t>
  </si>
  <si>
    <t>Working web MVP</t>
  </si>
  <si>
    <t>GATE 4B/5</t>
  </si>
  <si>
    <t>MockASRProvider</t>
  </si>
  <si>
    <t>Final presentation</t>
  </si>
  <si>
    <t>Gate 6A</t>
  </si>
  <si>
    <t>PPTX/PDF</t>
  </si>
  <si>
    <t>GATE 6B-1</t>
  </si>
  <si>
    <t>DOCX/PDF, 2 pages</t>
  </si>
  <si>
    <t>GATE 6B-2</t>
  </si>
  <si>
    <t>Engineering workbook</t>
  </si>
  <si>
    <t>Article + presentation</t>
  </si>
  <si>
    <t>Google Sheet / XLSX-ready workbook</t>
  </si>
  <si>
    <t>GATE 6B-3</t>
  </si>
  <si>
    <t>Hardware purchase</t>
  </si>
  <si>
    <t>Purchase decision</t>
  </si>
  <si>
    <t>Research stand</t>
  </si>
  <si>
    <t>NEXT GATE</t>
  </si>
  <si>
    <t>2× nRF5340 DK recommended</t>
  </si>
  <si>
    <t>Local ASR E05 integration</t>
  </si>
  <si>
    <t>ASR selection</t>
  </si>
  <si>
    <t>Real ASR adapter</t>
  </si>
  <si>
    <t>T-one + GigaAM-v3 reference</t>
  </si>
  <si>
    <t>E01 latency</t>
  </si>
  <si>
    <t>Hardware stand</t>
  </si>
  <si>
    <t>Measured latency dataset</t>
  </si>
  <si>
    <t>E03 stability</t>
  </si>
  <si>
    <t>Stability dataset</t>
  </si>
  <si>
    <t>E04 LC3 comparison</t>
  </si>
  <si>
    <t>LC3 comparison dataset</t>
  </si>
  <si>
    <t>E07 Bridge-T</t>
  </si>
  <si>
    <t>Sink + T/MT access</t>
  </si>
  <si>
    <t>Bridge-T measurements</t>
  </si>
  <si>
    <t>Pilot classroom</t>
  </si>
  <si>
    <t>Validated stand + ASR</t>
  </si>
  <si>
    <t>Pilot report</t>
  </si>
  <si>
    <t>Roadmap</t>
  </si>
  <si>
    <t>Professional patent search</t>
  </si>
  <si>
    <t>Experimental evidence</t>
  </si>
  <si>
    <t>Claim charts / search report</t>
  </si>
  <si>
    <t>Gate 7</t>
  </si>
  <si>
    <t>Before patent claims</t>
  </si>
  <si>
    <t>Optional RID</t>
  </si>
  <si>
    <t>Patent search</t>
  </si>
  <si>
    <t>RID decision</t>
  </si>
  <si>
    <t>Gate 7+</t>
  </si>
  <si>
    <t>Only if evidence supports</t>
  </si>
  <si>
    <t>Организация / Автор</t>
  </si>
  <si>
    <t>Год</t>
  </si>
  <si>
    <t>Тип</t>
  </si>
  <si>
    <t>PRIMARY?</t>
  </si>
  <si>
    <t>PEER-REVIEWED?</t>
  </si>
  <si>
    <t>SECONDARY?</t>
  </si>
  <si>
    <t>URL / File</t>
  </si>
  <si>
    <t>Access Date</t>
  </si>
  <si>
    <t>Claims Supported</t>
  </si>
  <si>
    <t>Used In</t>
  </si>
  <si>
    <t>Current?</t>
  </si>
  <si>
    <t>SRC01</t>
  </si>
  <si>
    <t>Public Broadcast Profile 1.0.1</t>
  </si>
  <si>
    <t>Bluetooth SIG</t>
  </si>
  <si>
    <t>Specification</t>
  </si>
  <si>
    <t>Auracast public broadcast profile</t>
  </si>
  <si>
    <t>Architecture / article</t>
  </si>
  <si>
    <t>Primary normative source</t>
  </si>
  <si>
    <t>SRC02</t>
  </si>
  <si>
    <t>Basic Audio Profile 1.0.1</t>
  </si>
  <si>
    <t>LE Audio / LC3 audio profile</t>
  </si>
  <si>
    <t>Architecture / LC3</t>
  </si>
  <si>
    <t>Roger ecosystem / MyLink documentation</t>
  </si>
  <si>
    <t>Vendor documentation</t>
  </si>
  <si>
    <t>Roger remote microphone ecosystem; MyLink legacy</t>
  </si>
  <si>
    <t>Analog analysis</t>
  </si>
  <si>
    <t>Product history/status to be periodically rechecked</t>
  </si>
  <si>
    <t>Roger NeckLoop for speech-to-text installation guide</t>
  </si>
  <si>
    <t>Vendor guide</t>
  </si>
  <si>
    <t>USB audio → third-party STT</t>
  </si>
  <si>
    <t>Novelty / article</t>
  </si>
  <si>
    <t>Critical prior art for clean-feed STT</t>
  </si>
  <si>
    <t>FM education system; T/TM path</t>
  </si>
  <si>
    <t>Analog analysis / article</t>
  </si>
  <si>
    <t>Russian education analogue</t>
  </si>
  <si>
    <t>Android accessibility / Live Transcribe docs</t>
  </si>
  <si>
    <t>Google / Android</t>
  </si>
  <si>
    <t>Official documentation</t>
  </si>
  <si>
    <t>Mobile captioning capabilities</t>
  </si>
  <si>
    <t>App landscape</t>
  </si>
  <si>
    <t>SRC07</t>
  </si>
  <si>
    <t>Auracast deployment in education</t>
  </si>
  <si>
    <t>University of Queensland</t>
  </si>
  <si>
    <t>University official page</t>
  </si>
  <si>
    <t>Claim about own deployment</t>
  </si>
  <si>
    <t>Presentation / article</t>
  </si>
  <si>
    <t>Primary only for its own deployment</t>
  </si>
  <si>
    <t>SRC08</t>
  </si>
  <si>
    <t>Speech intelligibility research</t>
  </si>
  <si>
    <t>Bradley &amp; Sato</t>
  </si>
  <si>
    <t>Peer-reviewed article</t>
  </si>
  <si>
    <t>Distance/noise/reverberation context</t>
  </si>
  <si>
    <t>Peer-reviewed research, not PRIMARY product source</t>
  </si>
  <si>
    <t>SRC09</t>
  </si>
  <si>
    <t>Missed-speech prior art / Bionica</t>
  </si>
  <si>
    <t>Patent source</t>
  </si>
  <si>
    <t>Patent / prior art</t>
  </si>
  <si>
    <t>Earlier missed-speech mechanism</t>
  </si>
  <si>
    <t>Novelty map</t>
  </si>
  <si>
    <t>Use claim chart before patent conclusions</t>
  </si>
  <si>
    <t>Auri official materials</t>
  </si>
  <si>
    <t>Auracast ALS / receiver + neckloop class</t>
  </si>
  <si>
    <t>Bettear official materials</t>
  </si>
  <si>
    <t>Hybrid accessibility audio/text class</t>
  </si>
  <si>
    <t>Functions require product-level verification</t>
  </si>
  <si>
    <t>HearAura materials</t>
  </si>
  <si>
    <t>Product material</t>
  </si>
  <si>
    <t>Reported Auracast + captions</t>
  </si>
  <si>
    <t>VERIFY</t>
  </si>
  <si>
    <t>Needs stronger primary verification</t>
  </si>
  <si>
    <t>Ava captioning</t>
  </si>
  <si>
    <t>Captioning app class</t>
  </si>
  <si>
    <t>Decision ID</t>
  </si>
  <si>
    <t>Date</t>
  </si>
  <si>
    <t>Decision</t>
  </si>
  <si>
    <t>Reason</t>
  </si>
  <si>
    <t>Alternatives</t>
  </si>
  <si>
    <t>D-001</t>
  </si>
  <si>
    <t>Route+ находится вне Auracast audio path</t>
  </si>
  <si>
    <t>Приложение не должно притворяться generic Auracast controller</t>
  </si>
  <si>
    <t>App-in-audio-chain</t>
  </si>
  <si>
    <t>ACTIVE</t>
  </si>
  <si>
    <t>ARCHITECTURE_FREEZE</t>
  </si>
  <si>
    <t>D-002</t>
  </si>
  <si>
    <t>Разветвление clean PCM выполняется до LC3</t>
  </si>
  <si>
    <t>Один источник для аудио и data branch</t>
  </si>
  <si>
    <t>ASR из телефонного микрофона как единственный путь</t>
  </si>
  <si>
    <t>Gate 4A/6A</t>
  </si>
  <si>
    <t>SYSTEM_ARCHITECTURE</t>
  </si>
  <si>
    <t>D-003</t>
  </si>
  <si>
    <t>MyLink/NeckLoop/Auri/AuraCoil и др.</t>
  </si>
  <si>
    <t>Уникальность Bridge-T</t>
  </si>
  <si>
    <t>Gate 6A prior art</t>
  </si>
  <si>
    <t>NOVELTY_MAP</t>
  </si>
  <si>
    <t>D-004</t>
  </si>
  <si>
    <t>Clean-feed → STT не заявляется новизной</t>
  </si>
  <si>
    <t>Roger NeckLoop prior art 2021</t>
  </si>
  <si>
    <t>Clean-feed как core novelty</t>
  </si>
  <si>
    <t>Phonak STT guide</t>
  </si>
  <si>
    <t>D-005</t>
  </si>
  <si>
    <t>AUTHOR_COUNT = 1</t>
  </si>
  <si>
    <t>Проект имеет одного автора</t>
  </si>
  <si>
    <t>Командное авторство</t>
  </si>
  <si>
    <t>AUTHORSHIP_POLICY</t>
  </si>
  <si>
    <t>D-006</t>
  </si>
  <si>
    <t>LC3 24_2_1 используется как engineering baseline</t>
  </si>
  <si>
    <t>Нужна базовая конфигурация для E04</t>
  </si>
  <si>
    <t>Сразу объявить оптимальной</t>
  </si>
  <si>
    <t>Gate 4A</t>
  </si>
  <si>
    <t>LC3_BASELINE</t>
  </si>
  <si>
    <t>D-007</t>
  </si>
  <si>
    <t>Latency values маркируются TARGET / ACCEPTANCE</t>
  </si>
  <si>
    <t>Собственных измерений ещё нет</t>
  </si>
  <si>
    <t>Показывать как achieved</t>
  </si>
  <si>
    <t>LATENCY_DEEP_DIVE</t>
  </si>
  <si>
    <t>D-008</t>
  </si>
  <si>
    <t>Research stand: 2× nRF5340 Audio DK</t>
  </si>
  <si>
    <t>Контроль firmware/LC3/QoS важнее красивого demo</t>
  </si>
  <si>
    <t>FMA120 + AuraClip</t>
  </si>
  <si>
    <t>RECOMMENDED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</si>
</sst>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b/>
      <color rgb="FF141414"/>
      <name val="Arial"/>
      <scheme val="minor"/>
    </font>
    <font>
      <b/>
      <sz val="16.0"/>
      <color rgb="FF142D56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8F2FF"/>
        <bgColor rgb="FFE8F2FF"/>
      </patternFill>
    </fill>
    <fill>
      <patternFill patternType="solid">
        <fgColor rgb="FFEFEFEF"/>
        <bgColor rgb="FFEFEFEF"/>
      </patternFill>
    </fill>
    <fill>
      <patternFill patternType="solid">
        <fgColor rgb="FFFFF4E0"/>
        <bgColor rgb="FFFFF4E0"/>
      </patternFill>
    </fill>
    <fill>
      <patternFill patternType="solid">
        <fgColor rgb="FFEFFCF2"/>
        <bgColor rgb="FFEFFCF2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readingOrder="0"/>
    </xf>
    <xf borderId="0" fillId="0" fontId="4" numFmtId="0" xfId="0" applyAlignment="1" applyFont="1">
      <alignment shrinkToFit="0" vertical="top" wrapText="1"/>
    </xf>
    <xf borderId="0" fillId="4" fontId="5" numFmtId="0" xfId="0" applyFill="1" applyFont="1"/>
    <xf borderId="0" fillId="0" fontId="3" numFmtId="0" xfId="0" applyFont="1"/>
    <xf borderId="0" fillId="5" fontId="4" numFmtId="0" xfId="0" applyAlignment="1" applyFill="1" applyFont="1">
      <alignment readingOrder="0" shrinkToFit="0" vertical="top" wrapText="1"/>
    </xf>
    <xf borderId="0" fillId="6" fontId="4" numFmtId="0" xfId="0" applyAlignment="1" applyFill="1" applyFont="1">
      <alignment readingOrder="0"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3" numFmtId="164" xfId="0" applyFont="1" applyNumberFormat="1"/>
  </cellXfs>
  <cellStyles count="1">
    <cellStyle xfId="0" name="Normal" builtinId="0"/>
  </cellStyles>
  <dxfs count="5">
    <dxf>
      <font>
        <b/>
      </font>
      <fill>
        <patternFill patternType="solid">
          <fgColor rgb="FFE0F4E0"/>
          <bgColor rgb="FFE0F4E0"/>
        </patternFill>
      </fill>
      <border/>
    </dxf>
    <dxf>
      <font>
        <b/>
      </font>
      <fill>
        <patternFill patternType="solid">
          <fgColor rgb="FFE0EDFF"/>
          <bgColor rgb="FFE0EDFF"/>
        </patternFill>
      </fill>
      <border/>
    </dxf>
    <dxf>
      <font>
        <b/>
      </font>
      <fill>
        <patternFill patternType="solid">
          <fgColor rgb="FFFFF4D1"/>
          <bgColor rgb="FFFFF4D1"/>
        </patternFill>
      </fill>
      <border/>
    </dxf>
    <dxf>
      <font>
        <b/>
      </font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FFDBDB"/>
          <bgColor rgb="FFFFDB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2.63"/>
  </cols>
  <sheetData>
    <row r="1">
      <c r="A1" s="2" t="s">
        <v>1</v>
      </c>
    </row>
    <row r="2">
      <c r="A2" s="3" t="s">
        <v>15</v>
      </c>
      <c r="B2" s="3" t="s">
        <v>22</v>
      </c>
    </row>
    <row r="3">
      <c r="A3" s="3" t="s">
        <v>24</v>
      </c>
      <c r="B3" s="3">
        <v>1.0</v>
      </c>
    </row>
    <row r="4">
      <c r="A4" s="3" t="s">
        <v>28</v>
      </c>
      <c r="B4" s="3" t="s">
        <v>34</v>
      </c>
    </row>
    <row r="6">
      <c r="A6" s="5" t="s">
        <v>39</v>
      </c>
      <c r="B6" s="7"/>
    </row>
    <row r="7">
      <c r="A7" s="3" t="s">
        <v>47</v>
      </c>
      <c r="B7" s="3" t="s">
        <v>50</v>
      </c>
    </row>
    <row r="8">
      <c r="A8" s="3" t="s">
        <v>53</v>
      </c>
      <c r="B8" s="3" t="s">
        <v>55</v>
      </c>
    </row>
    <row r="9">
      <c r="A9" s="3" t="s">
        <v>58</v>
      </c>
      <c r="B9" s="3" t="s">
        <v>37</v>
      </c>
    </row>
    <row r="10">
      <c r="A10" s="3" t="s">
        <v>61</v>
      </c>
      <c r="B10" s="3" t="s">
        <v>63</v>
      </c>
    </row>
    <row r="11">
      <c r="A11" s="3" t="s">
        <v>74</v>
      </c>
      <c r="B11" s="3" t="s">
        <v>75</v>
      </c>
    </row>
    <row r="12">
      <c r="A12" s="3" t="s">
        <v>77</v>
      </c>
      <c r="B12" s="3" t="s">
        <v>78</v>
      </c>
    </row>
    <row r="13">
      <c r="A13" s="3" t="s">
        <v>79</v>
      </c>
      <c r="B13" s="3" t="s">
        <v>81</v>
      </c>
    </row>
    <row r="15">
      <c r="A15" s="5" t="s">
        <v>84</v>
      </c>
      <c r="B15" s="7"/>
    </row>
    <row r="16">
      <c r="A16" s="3" t="s">
        <v>87</v>
      </c>
      <c r="B16" s="8">
        <f>COUNTA('01_Аналоги'!B2:B1000)</f>
        <v>10</v>
      </c>
    </row>
    <row r="17">
      <c r="A17" s="3" t="s">
        <v>113</v>
      </c>
      <c r="B17" s="8">
        <f>COUNTA('02_BOM'!A2:A1000)</f>
        <v>12</v>
      </c>
    </row>
    <row r="18">
      <c r="A18" s="3" t="s">
        <v>133</v>
      </c>
      <c r="B18" s="8">
        <f>COUNTA('04_Эксперименты'!A2:A1000)</f>
        <v>5</v>
      </c>
    </row>
    <row r="19">
      <c r="A19" s="3" t="s">
        <v>147</v>
      </c>
      <c r="B19" s="8">
        <f>COUNTIF('06_Риски'!G2:G1000,"HIGH")</f>
        <v>9</v>
      </c>
    </row>
    <row r="20">
      <c r="A20" s="3" t="s">
        <v>157</v>
      </c>
      <c r="B20" s="8">
        <f>COUNTIF('04_Эксперименты'!S2:S1000,"MEASURED")</f>
        <v>0</v>
      </c>
    </row>
    <row r="21">
      <c r="A21" s="7"/>
      <c r="B21" s="7"/>
    </row>
    <row r="22">
      <c r="A22" s="3" t="s">
        <v>163</v>
      </c>
      <c r="B22" s="3" t="s">
        <v>164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1.5"/>
    <col customWidth="1" min="3" max="3" width="12.0"/>
    <col customWidth="1" min="4" max="4" width="12.25"/>
    <col customWidth="1" min="5" max="5" width="27.63"/>
    <col customWidth="1" min="6" max="6" width="12.63"/>
    <col customWidth="1" min="7" max="7" width="12.5"/>
    <col customWidth="1" min="8" max="8" width="12.75"/>
    <col customWidth="1" min="9" max="9" width="5.75"/>
    <col customWidth="1" min="10" max="10" width="12.63"/>
    <col customWidth="1" min="11" max="11" width="10.0"/>
    <col customWidth="1" min="12" max="12" width="11.13"/>
    <col customWidth="1" min="13" max="13" width="12.13"/>
    <col customWidth="1" min="14" max="14" width="9.88"/>
    <col customWidth="1" min="15" max="15" width="9.13"/>
    <col customWidth="1" min="16" max="16" width="10.38"/>
    <col customWidth="1" min="17" max="17" width="12.5"/>
    <col customWidth="1" min="18" max="18" width="11.38"/>
    <col customWidth="1" min="19" max="19" width="11.63"/>
    <col customWidth="1" min="20" max="20" width="11.88"/>
    <col customWidth="1" min="21" max="21" width="12.0"/>
    <col customWidth="1" min="22" max="22" width="12.63"/>
    <col customWidth="1" min="23" max="25" width="12.0"/>
    <col customWidth="1" min="26" max="26" width="12.25"/>
    <col customWidth="1" min="27" max="27" width="12.13"/>
    <col customWidth="1" min="28" max="29" width="12.0"/>
    <col customWidth="1" min="30" max="30" width="11.5"/>
    <col customWidth="1" min="31" max="31" width="11.13"/>
    <col customWidth="1" min="32" max="33" width="27.63"/>
    <col customWidth="1" min="34" max="34" width="12.88"/>
    <col customWidth="1" min="35" max="35" width="12.38"/>
    <col customWidth="1" min="36" max="36" width="27.63"/>
  </cols>
  <sheetData>
    <row r="1">
      <c r="A1" s="1" t="s">
        <v>92</v>
      </c>
      <c r="B1" s="1" t="s">
        <v>94</v>
      </c>
      <c r="C1" s="1" t="s">
        <v>7</v>
      </c>
      <c r="D1" s="1" t="s">
        <v>97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109</v>
      </c>
      <c r="O1" s="1" t="s">
        <v>111</v>
      </c>
      <c r="P1" s="1" t="s">
        <v>112</v>
      </c>
      <c r="Q1" s="1" t="s">
        <v>114</v>
      </c>
      <c r="R1" s="1" t="s">
        <v>116</v>
      </c>
      <c r="S1" s="1" t="s">
        <v>117</v>
      </c>
      <c r="T1" s="1" t="s">
        <v>121</v>
      </c>
      <c r="U1" s="1" t="s">
        <v>122</v>
      </c>
      <c r="V1" s="1" t="s">
        <v>123</v>
      </c>
      <c r="W1" s="1" t="s">
        <v>125</v>
      </c>
      <c r="X1" s="1" t="s">
        <v>126</v>
      </c>
      <c r="Y1" s="1" t="s">
        <v>128</v>
      </c>
      <c r="Z1" s="1" t="s">
        <v>129</v>
      </c>
      <c r="AA1" s="1" t="s">
        <v>131</v>
      </c>
      <c r="AB1" s="1" t="s">
        <v>132</v>
      </c>
      <c r="AC1" s="1" t="s">
        <v>134</v>
      </c>
      <c r="AD1" s="1" t="s">
        <v>137</v>
      </c>
      <c r="AE1" s="1" t="s">
        <v>139</v>
      </c>
      <c r="AF1" s="1" t="s">
        <v>141</v>
      </c>
      <c r="AG1" s="1" t="s">
        <v>142</v>
      </c>
      <c r="AH1" s="1" t="s">
        <v>144</v>
      </c>
      <c r="AI1" s="1" t="s">
        <v>145</v>
      </c>
      <c r="AJ1" s="1" t="s">
        <v>44</v>
      </c>
    </row>
    <row r="2">
      <c r="A2" s="4" t="s">
        <v>148</v>
      </c>
      <c r="B2" s="4" t="s">
        <v>149</v>
      </c>
      <c r="C2" s="4" t="s">
        <v>150</v>
      </c>
      <c r="D2" s="4" t="s">
        <v>151</v>
      </c>
      <c r="E2" s="4" t="s">
        <v>152</v>
      </c>
      <c r="F2" s="4" t="s">
        <v>31</v>
      </c>
      <c r="G2" s="4" t="s">
        <v>31</v>
      </c>
      <c r="H2" s="4" t="s">
        <v>159</v>
      </c>
      <c r="I2" s="4" t="s">
        <v>31</v>
      </c>
      <c r="J2" s="4" t="s">
        <v>66</v>
      </c>
      <c r="K2" s="4" t="s">
        <v>66</v>
      </c>
      <c r="L2" s="4" t="s">
        <v>31</v>
      </c>
      <c r="M2" s="4" t="s">
        <v>66</v>
      </c>
      <c r="N2" s="4" t="s">
        <v>168</v>
      </c>
      <c r="O2" s="4" t="s">
        <v>31</v>
      </c>
      <c r="P2" s="4" t="s">
        <v>31</v>
      </c>
      <c r="Q2" s="4" t="s">
        <v>168</v>
      </c>
      <c r="R2" s="4" t="s">
        <v>66</v>
      </c>
      <c r="S2" s="4" t="s">
        <v>66</v>
      </c>
      <c r="T2" s="4" t="s">
        <v>66</v>
      </c>
      <c r="U2" s="4" t="s">
        <v>66</v>
      </c>
      <c r="V2" s="4" t="s">
        <v>66</v>
      </c>
      <c r="W2" s="4" t="s">
        <v>66</v>
      </c>
      <c r="X2" s="4" t="s">
        <v>66</v>
      </c>
      <c r="Y2" s="4" t="s">
        <v>66</v>
      </c>
      <c r="Z2" s="4" t="s">
        <v>66</v>
      </c>
      <c r="AA2" s="4" t="s">
        <v>66</v>
      </c>
      <c r="AB2" s="4" t="s">
        <v>66</v>
      </c>
      <c r="AC2" s="4" t="s">
        <v>31</v>
      </c>
      <c r="AD2" s="4" t="s">
        <v>66</v>
      </c>
      <c r="AE2" s="4" t="s">
        <v>31</v>
      </c>
      <c r="AF2" s="4" t="s">
        <v>178</v>
      </c>
      <c r="AG2" s="4" t="s">
        <v>179</v>
      </c>
      <c r="AH2" s="4" t="s">
        <v>180</v>
      </c>
      <c r="AI2" s="4" t="s">
        <v>35</v>
      </c>
      <c r="AJ2" s="4" t="s">
        <v>182</v>
      </c>
    </row>
    <row r="3">
      <c r="A3" s="4" t="s">
        <v>183</v>
      </c>
      <c r="B3" s="4" t="s">
        <v>184</v>
      </c>
      <c r="C3" s="4" t="s">
        <v>185</v>
      </c>
      <c r="D3" s="4" t="s">
        <v>151</v>
      </c>
      <c r="E3" s="4" t="s">
        <v>152</v>
      </c>
      <c r="F3" s="4" t="s">
        <v>31</v>
      </c>
      <c r="G3" s="4" t="s">
        <v>31</v>
      </c>
      <c r="H3" s="4" t="s">
        <v>188</v>
      </c>
      <c r="I3" s="4" t="s">
        <v>66</v>
      </c>
      <c r="J3" s="4" t="s">
        <v>31</v>
      </c>
      <c r="K3" s="4" t="s">
        <v>66</v>
      </c>
      <c r="L3" s="4" t="s">
        <v>31</v>
      </c>
      <c r="M3" s="4" t="s">
        <v>66</v>
      </c>
      <c r="N3" s="4" t="s">
        <v>31</v>
      </c>
      <c r="O3" s="4" t="s">
        <v>168</v>
      </c>
      <c r="P3" s="4" t="s">
        <v>168</v>
      </c>
      <c r="Q3" s="4" t="s">
        <v>31</v>
      </c>
      <c r="R3" s="4" t="s">
        <v>168</v>
      </c>
      <c r="S3" s="4" t="s">
        <v>168</v>
      </c>
      <c r="T3" s="4" t="s">
        <v>168</v>
      </c>
      <c r="U3" s="4" t="s">
        <v>168</v>
      </c>
      <c r="V3" s="4" t="s">
        <v>168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4" t="s">
        <v>66</v>
      </c>
      <c r="AC3" s="4" t="s">
        <v>31</v>
      </c>
      <c r="AD3" s="4" t="s">
        <v>168</v>
      </c>
      <c r="AE3" s="4" t="s">
        <v>31</v>
      </c>
      <c r="AF3" s="4" t="s">
        <v>198</v>
      </c>
      <c r="AG3" s="4" t="s">
        <v>199</v>
      </c>
      <c r="AH3" s="4" t="s">
        <v>201</v>
      </c>
      <c r="AI3" s="4" t="s">
        <v>35</v>
      </c>
      <c r="AJ3" s="4" t="s">
        <v>203</v>
      </c>
    </row>
    <row r="4">
      <c r="A4" s="9" t="s">
        <v>206</v>
      </c>
      <c r="B4" s="9" t="s">
        <v>212</v>
      </c>
      <c r="C4" s="9" t="s">
        <v>185</v>
      </c>
      <c r="D4" s="9" t="s">
        <v>151</v>
      </c>
      <c r="E4" s="9" t="s">
        <v>215</v>
      </c>
      <c r="F4" s="9" t="s">
        <v>31</v>
      </c>
      <c r="G4" s="9" t="s">
        <v>31</v>
      </c>
      <c r="H4" s="9" t="s">
        <v>188</v>
      </c>
      <c r="I4" s="9" t="s">
        <v>66</v>
      </c>
      <c r="J4" s="9" t="s">
        <v>31</v>
      </c>
      <c r="K4" s="9" t="s">
        <v>66</v>
      </c>
      <c r="L4" s="9" t="s">
        <v>31</v>
      </c>
      <c r="M4" s="9" t="s">
        <v>66</v>
      </c>
      <c r="N4" s="9" t="s">
        <v>168</v>
      </c>
      <c r="O4" s="9" t="s">
        <v>31</v>
      </c>
      <c r="P4" s="9" t="s">
        <v>31</v>
      </c>
      <c r="Q4" s="9" t="s">
        <v>31</v>
      </c>
      <c r="R4" s="9" t="s">
        <v>31</v>
      </c>
      <c r="S4" s="9" t="s">
        <v>168</v>
      </c>
      <c r="T4" s="9" t="s">
        <v>31</v>
      </c>
      <c r="U4" s="9" t="s">
        <v>168</v>
      </c>
      <c r="V4" s="9" t="s">
        <v>168</v>
      </c>
      <c r="W4" s="9" t="s">
        <v>66</v>
      </c>
      <c r="X4" s="9" t="s">
        <v>66</v>
      </c>
      <c r="Y4" s="9" t="s">
        <v>66</v>
      </c>
      <c r="Z4" s="9" t="s">
        <v>66</v>
      </c>
      <c r="AA4" s="9" t="s">
        <v>66</v>
      </c>
      <c r="AB4" s="9" t="s">
        <v>66</v>
      </c>
      <c r="AC4" s="9" t="s">
        <v>31</v>
      </c>
      <c r="AD4" s="9" t="s">
        <v>168</v>
      </c>
      <c r="AE4" s="9" t="s">
        <v>31</v>
      </c>
      <c r="AF4" s="9" t="s">
        <v>222</v>
      </c>
      <c r="AG4" s="9" t="s">
        <v>223</v>
      </c>
      <c r="AH4" s="9" t="s">
        <v>224</v>
      </c>
      <c r="AI4" s="9" t="s">
        <v>35</v>
      </c>
      <c r="AJ4" s="9" t="s">
        <v>225</v>
      </c>
    </row>
    <row r="5">
      <c r="A5" s="4" t="s">
        <v>226</v>
      </c>
      <c r="B5" s="4" t="s">
        <v>227</v>
      </c>
      <c r="C5" s="4" t="s">
        <v>185</v>
      </c>
      <c r="D5" s="4" t="s">
        <v>228</v>
      </c>
      <c r="E5" s="4" t="s">
        <v>215</v>
      </c>
      <c r="F5" s="4" t="s">
        <v>31</v>
      </c>
      <c r="G5" s="4" t="s">
        <v>31</v>
      </c>
      <c r="H5" s="4" t="s">
        <v>229</v>
      </c>
      <c r="I5" s="4" t="s">
        <v>66</v>
      </c>
      <c r="J5" s="4" t="s">
        <v>31</v>
      </c>
      <c r="K5" s="4" t="s">
        <v>66</v>
      </c>
      <c r="L5" s="4" t="s">
        <v>31</v>
      </c>
      <c r="M5" s="4" t="s">
        <v>66</v>
      </c>
      <c r="N5" s="4" t="s">
        <v>168</v>
      </c>
      <c r="O5" s="4" t="s">
        <v>31</v>
      </c>
      <c r="P5" s="4" t="s">
        <v>31</v>
      </c>
      <c r="Q5" s="4" t="s">
        <v>168</v>
      </c>
      <c r="R5" s="4" t="s">
        <v>66</v>
      </c>
      <c r="S5" s="4" t="s">
        <v>66</v>
      </c>
      <c r="T5" s="4" t="s">
        <v>66</v>
      </c>
      <c r="U5" s="4" t="s">
        <v>66</v>
      </c>
      <c r="V5" s="4" t="s">
        <v>66</v>
      </c>
      <c r="W5" s="4" t="s">
        <v>66</v>
      </c>
      <c r="X5" s="4" t="s">
        <v>66</v>
      </c>
      <c r="Y5" s="4" t="s">
        <v>66</v>
      </c>
      <c r="Z5" s="4" t="s">
        <v>66</v>
      </c>
      <c r="AA5" s="4" t="s">
        <v>66</v>
      </c>
      <c r="AB5" s="4" t="s">
        <v>66</v>
      </c>
      <c r="AC5" s="4" t="s">
        <v>31</v>
      </c>
      <c r="AD5" s="4" t="s">
        <v>66</v>
      </c>
      <c r="AE5" s="4" t="s">
        <v>31</v>
      </c>
      <c r="AF5" s="4" t="s">
        <v>230</v>
      </c>
      <c r="AG5" s="4" t="s">
        <v>231</v>
      </c>
      <c r="AH5" s="4" t="s">
        <v>201</v>
      </c>
      <c r="AI5" s="4" t="s">
        <v>68</v>
      </c>
      <c r="AJ5" s="4" t="s">
        <v>232</v>
      </c>
    </row>
    <row r="6">
      <c r="A6" s="4" t="s">
        <v>233</v>
      </c>
      <c r="B6" s="4" t="s">
        <v>234</v>
      </c>
      <c r="C6" s="4" t="s">
        <v>235</v>
      </c>
      <c r="D6" s="4" t="s">
        <v>151</v>
      </c>
      <c r="E6" s="4" t="s">
        <v>236</v>
      </c>
      <c r="F6" s="4" t="s">
        <v>31</v>
      </c>
      <c r="G6" s="4" t="s">
        <v>168</v>
      </c>
      <c r="H6" s="4" t="s">
        <v>237</v>
      </c>
      <c r="I6" s="4" t="s">
        <v>66</v>
      </c>
      <c r="J6" s="4" t="s">
        <v>66</v>
      </c>
      <c r="K6" s="4" t="s">
        <v>31</v>
      </c>
      <c r="L6" s="4" t="s">
        <v>31</v>
      </c>
      <c r="M6" s="4" t="s">
        <v>31</v>
      </c>
      <c r="N6" s="4" t="s">
        <v>168</v>
      </c>
      <c r="O6" s="4" t="s">
        <v>168</v>
      </c>
      <c r="P6" s="4" t="s">
        <v>31</v>
      </c>
      <c r="Q6" s="4" t="s">
        <v>168</v>
      </c>
      <c r="R6" s="4" t="s">
        <v>135</v>
      </c>
      <c r="S6" s="4" t="s">
        <v>135</v>
      </c>
      <c r="T6" s="4" t="s">
        <v>135</v>
      </c>
      <c r="U6" s="4" t="s">
        <v>135</v>
      </c>
      <c r="V6" s="4" t="s">
        <v>135</v>
      </c>
      <c r="W6" s="4" t="s">
        <v>135</v>
      </c>
      <c r="X6" s="4" t="s">
        <v>135</v>
      </c>
      <c r="Y6" s="4" t="s">
        <v>135</v>
      </c>
      <c r="Z6" s="4" t="s">
        <v>135</v>
      </c>
      <c r="AA6" s="4" t="s">
        <v>135</v>
      </c>
      <c r="AB6" s="4" t="s">
        <v>135</v>
      </c>
      <c r="AC6" s="4" t="s">
        <v>31</v>
      </c>
      <c r="AD6" s="4" t="s">
        <v>135</v>
      </c>
      <c r="AE6" s="4" t="s">
        <v>168</v>
      </c>
      <c r="AF6" s="4" t="s">
        <v>238</v>
      </c>
      <c r="AG6" s="4" t="s">
        <v>239</v>
      </c>
      <c r="AH6" s="4" t="s">
        <v>240</v>
      </c>
      <c r="AI6" s="4" t="s">
        <v>68</v>
      </c>
      <c r="AJ6" s="4" t="s">
        <v>241</v>
      </c>
    </row>
    <row r="7">
      <c r="A7" s="4" t="s">
        <v>242</v>
      </c>
      <c r="B7" s="4" t="s">
        <v>243</v>
      </c>
      <c r="C7" s="4" t="s">
        <v>243</v>
      </c>
      <c r="D7" s="4" t="s">
        <v>151</v>
      </c>
      <c r="E7" s="4" t="s">
        <v>244</v>
      </c>
      <c r="F7" s="4" t="s">
        <v>31</v>
      </c>
      <c r="G7" s="4" t="s">
        <v>168</v>
      </c>
      <c r="H7" s="4" t="s">
        <v>245</v>
      </c>
      <c r="I7" s="4" t="s">
        <v>66</v>
      </c>
      <c r="J7" s="4" t="s">
        <v>168</v>
      </c>
      <c r="K7" s="4" t="s">
        <v>31</v>
      </c>
      <c r="L7" s="4" t="s">
        <v>31</v>
      </c>
      <c r="M7" s="4" t="s">
        <v>31</v>
      </c>
      <c r="N7" s="4" t="s">
        <v>168</v>
      </c>
      <c r="O7" s="4" t="s">
        <v>168</v>
      </c>
      <c r="P7" s="4" t="s">
        <v>31</v>
      </c>
      <c r="Q7" s="4" t="s">
        <v>31</v>
      </c>
      <c r="R7" s="4" t="s">
        <v>168</v>
      </c>
      <c r="S7" s="4" t="s">
        <v>31</v>
      </c>
      <c r="T7" s="4" t="s">
        <v>168</v>
      </c>
      <c r="U7" s="4" t="s">
        <v>31</v>
      </c>
      <c r="V7" s="4" t="s">
        <v>168</v>
      </c>
      <c r="W7" s="4" t="s">
        <v>135</v>
      </c>
      <c r="X7" s="4" t="s">
        <v>135</v>
      </c>
      <c r="Y7" s="4" t="s">
        <v>168</v>
      </c>
      <c r="Z7" s="4" t="s">
        <v>135</v>
      </c>
      <c r="AA7" s="4" t="s">
        <v>135</v>
      </c>
      <c r="AB7" s="4" t="s">
        <v>168</v>
      </c>
      <c r="AC7" s="4" t="s">
        <v>31</v>
      </c>
      <c r="AD7" s="4" t="s">
        <v>168</v>
      </c>
      <c r="AE7" s="4" t="s">
        <v>168</v>
      </c>
      <c r="AF7" s="4" t="s">
        <v>246</v>
      </c>
      <c r="AG7" s="4" t="s">
        <v>247</v>
      </c>
      <c r="AH7" s="4" t="s">
        <v>248</v>
      </c>
      <c r="AI7" s="4" t="s">
        <v>68</v>
      </c>
      <c r="AJ7" s="4" t="s">
        <v>249</v>
      </c>
    </row>
    <row r="8">
      <c r="A8" s="4" t="s">
        <v>250</v>
      </c>
      <c r="B8" s="4" t="s">
        <v>251</v>
      </c>
      <c r="C8" s="4" t="s">
        <v>252</v>
      </c>
      <c r="D8" s="4" t="s">
        <v>253</v>
      </c>
      <c r="E8" s="4" t="s">
        <v>254</v>
      </c>
      <c r="F8" s="4" t="s">
        <v>168</v>
      </c>
      <c r="G8" s="4" t="s">
        <v>135</v>
      </c>
      <c r="H8" s="4" t="s">
        <v>255</v>
      </c>
      <c r="I8" s="4" t="s">
        <v>66</v>
      </c>
      <c r="J8" s="4" t="s">
        <v>135</v>
      </c>
      <c r="K8" s="4" t="s">
        <v>168</v>
      </c>
      <c r="L8" s="4" t="s">
        <v>135</v>
      </c>
      <c r="M8" s="4" t="s">
        <v>168</v>
      </c>
      <c r="N8" s="4" t="s">
        <v>135</v>
      </c>
      <c r="O8" s="4" t="s">
        <v>135</v>
      </c>
      <c r="P8" s="4" t="s">
        <v>135</v>
      </c>
      <c r="Q8" s="4" t="s">
        <v>135</v>
      </c>
      <c r="R8" s="4" t="s">
        <v>135</v>
      </c>
      <c r="S8" s="4" t="s">
        <v>31</v>
      </c>
      <c r="T8" s="4" t="s">
        <v>135</v>
      </c>
      <c r="U8" s="4" t="s">
        <v>31</v>
      </c>
      <c r="V8" s="4" t="s">
        <v>168</v>
      </c>
      <c r="W8" s="4" t="s">
        <v>135</v>
      </c>
      <c r="X8" s="4" t="s">
        <v>135</v>
      </c>
      <c r="Y8" s="4" t="s">
        <v>135</v>
      </c>
      <c r="Z8" s="4" t="s">
        <v>135</v>
      </c>
      <c r="AA8" s="4" t="s">
        <v>135</v>
      </c>
      <c r="AB8" s="4" t="s">
        <v>135</v>
      </c>
      <c r="AC8" s="4" t="s">
        <v>135</v>
      </c>
      <c r="AD8" s="4" t="s">
        <v>168</v>
      </c>
      <c r="AE8" s="4" t="s">
        <v>135</v>
      </c>
      <c r="AF8" s="4" t="s">
        <v>256</v>
      </c>
      <c r="AG8" s="4" t="s">
        <v>257</v>
      </c>
      <c r="AH8" s="4" t="s">
        <v>258</v>
      </c>
      <c r="AI8" s="4" t="s">
        <v>259</v>
      </c>
      <c r="AJ8" s="4" t="s">
        <v>260</v>
      </c>
    </row>
    <row r="9">
      <c r="A9" s="4" t="s">
        <v>261</v>
      </c>
      <c r="B9" s="4" t="s">
        <v>262</v>
      </c>
      <c r="C9" s="4" t="s">
        <v>262</v>
      </c>
      <c r="D9" s="4" t="s">
        <v>151</v>
      </c>
      <c r="E9" s="4" t="s">
        <v>263</v>
      </c>
      <c r="F9" s="4" t="s">
        <v>31</v>
      </c>
      <c r="G9" s="4" t="s">
        <v>66</v>
      </c>
      <c r="H9" s="4" t="s">
        <v>264</v>
      </c>
      <c r="I9" s="4" t="s">
        <v>66</v>
      </c>
      <c r="J9" s="4" t="s">
        <v>66</v>
      </c>
      <c r="K9" s="4" t="s">
        <v>66</v>
      </c>
      <c r="L9" s="4" t="s">
        <v>66</v>
      </c>
      <c r="M9" s="4" t="s">
        <v>66</v>
      </c>
      <c r="N9" s="4" t="s">
        <v>66</v>
      </c>
      <c r="O9" s="4" t="s">
        <v>66</v>
      </c>
      <c r="P9" s="4" t="s">
        <v>66</v>
      </c>
      <c r="Q9" s="4" t="s">
        <v>66</v>
      </c>
      <c r="R9" s="4" t="s">
        <v>168</v>
      </c>
      <c r="S9" s="4" t="s">
        <v>31</v>
      </c>
      <c r="T9" s="4" t="s">
        <v>66</v>
      </c>
      <c r="U9" s="4" t="s">
        <v>31</v>
      </c>
      <c r="V9" s="4" t="s">
        <v>168</v>
      </c>
      <c r="W9" s="4" t="s">
        <v>66</v>
      </c>
      <c r="X9" s="4" t="s">
        <v>168</v>
      </c>
      <c r="Y9" s="4" t="s">
        <v>168</v>
      </c>
      <c r="Z9" s="4" t="s">
        <v>168</v>
      </c>
      <c r="AA9" s="4" t="s">
        <v>168</v>
      </c>
      <c r="AB9" s="4" t="s">
        <v>31</v>
      </c>
      <c r="AC9" s="4" t="s">
        <v>66</v>
      </c>
      <c r="AD9" s="4" t="s">
        <v>168</v>
      </c>
      <c r="AE9" s="4" t="s">
        <v>66</v>
      </c>
      <c r="AF9" s="4" t="s">
        <v>265</v>
      </c>
      <c r="AG9" s="4" t="s">
        <v>266</v>
      </c>
      <c r="AH9" s="4" t="s">
        <v>267</v>
      </c>
      <c r="AI9" s="4" t="s">
        <v>68</v>
      </c>
      <c r="AJ9" s="4" t="s">
        <v>268</v>
      </c>
    </row>
    <row r="10">
      <c r="A10" s="4" t="s">
        <v>269</v>
      </c>
      <c r="B10" s="4" t="s">
        <v>270</v>
      </c>
      <c r="C10" s="4" t="s">
        <v>271</v>
      </c>
      <c r="D10" s="4" t="s">
        <v>151</v>
      </c>
      <c r="E10" s="4" t="s">
        <v>272</v>
      </c>
      <c r="F10" s="4" t="s">
        <v>31</v>
      </c>
      <c r="G10" s="4" t="s">
        <v>66</v>
      </c>
      <c r="H10" s="4" t="s">
        <v>273</v>
      </c>
      <c r="I10" s="4" t="s">
        <v>66</v>
      </c>
      <c r="J10" s="4" t="s">
        <v>66</v>
      </c>
      <c r="K10" s="4" t="s">
        <v>66</v>
      </c>
      <c r="L10" s="4" t="s">
        <v>66</v>
      </c>
      <c r="M10" s="4" t="s">
        <v>66</v>
      </c>
      <c r="N10" s="4" t="s">
        <v>66</v>
      </c>
      <c r="O10" s="4" t="s">
        <v>66</v>
      </c>
      <c r="P10" s="4" t="s">
        <v>66</v>
      </c>
      <c r="Q10" s="4" t="s">
        <v>66</v>
      </c>
      <c r="R10" s="4" t="s">
        <v>66</v>
      </c>
      <c r="S10" s="4" t="s">
        <v>31</v>
      </c>
      <c r="T10" s="4" t="s">
        <v>66</v>
      </c>
      <c r="U10" s="4" t="s">
        <v>31</v>
      </c>
      <c r="V10" s="4" t="s">
        <v>168</v>
      </c>
      <c r="W10" s="4" t="s">
        <v>66</v>
      </c>
      <c r="X10" s="4" t="s">
        <v>66</v>
      </c>
      <c r="Y10" s="4" t="s">
        <v>66</v>
      </c>
      <c r="Z10" s="4" t="s">
        <v>168</v>
      </c>
      <c r="AA10" s="4" t="s">
        <v>66</v>
      </c>
      <c r="AB10" s="4" t="s">
        <v>168</v>
      </c>
      <c r="AC10" s="4" t="s">
        <v>31</v>
      </c>
      <c r="AD10" s="4" t="s">
        <v>66</v>
      </c>
      <c r="AE10" s="4" t="s">
        <v>168</v>
      </c>
      <c r="AF10" s="4" t="s">
        <v>66</v>
      </c>
      <c r="AG10" s="4" t="s">
        <v>274</v>
      </c>
      <c r="AH10" s="4" t="s">
        <v>275</v>
      </c>
      <c r="AI10" s="4" t="s">
        <v>276</v>
      </c>
      <c r="AJ10" s="4" t="s">
        <v>35</v>
      </c>
      <c r="AK10" s="3" t="s">
        <v>277</v>
      </c>
    </row>
    <row r="11">
      <c r="A11" s="10" t="s">
        <v>278</v>
      </c>
      <c r="B11" s="10" t="s">
        <v>279</v>
      </c>
      <c r="C11" s="10" t="s">
        <v>280</v>
      </c>
      <c r="D11" s="10" t="s">
        <v>281</v>
      </c>
      <c r="E11" s="10" t="s">
        <v>282</v>
      </c>
      <c r="F11" s="10" t="s">
        <v>31</v>
      </c>
      <c r="G11" s="10" t="s">
        <v>283</v>
      </c>
      <c r="H11" s="10" t="s">
        <v>284</v>
      </c>
      <c r="I11" s="10" t="s">
        <v>66</v>
      </c>
      <c r="J11" s="10" t="s">
        <v>66</v>
      </c>
      <c r="K11" s="10" t="s">
        <v>283</v>
      </c>
      <c r="L11" s="10" t="s">
        <v>283</v>
      </c>
      <c r="M11" s="10" t="s">
        <v>283</v>
      </c>
      <c r="N11" s="10" t="s">
        <v>283</v>
      </c>
      <c r="O11" s="10" t="s">
        <v>283</v>
      </c>
      <c r="P11" s="10" t="s">
        <v>283</v>
      </c>
      <c r="Q11" s="10" t="s">
        <v>283</v>
      </c>
      <c r="R11" s="10" t="s">
        <v>283</v>
      </c>
      <c r="S11" s="10" t="s">
        <v>283</v>
      </c>
      <c r="T11" s="10" t="s">
        <v>283</v>
      </c>
      <c r="U11" s="10" t="s">
        <v>285</v>
      </c>
      <c r="V11" s="10" t="s">
        <v>285</v>
      </c>
      <c r="W11" s="10" t="s">
        <v>285</v>
      </c>
      <c r="X11" s="10" t="s">
        <v>285</v>
      </c>
      <c r="Y11" s="10" t="s">
        <v>285</v>
      </c>
      <c r="Z11" s="10" t="s">
        <v>286</v>
      </c>
      <c r="AA11" s="10" t="s">
        <v>286</v>
      </c>
      <c r="AB11" s="10" t="s">
        <v>287</v>
      </c>
      <c r="AC11" s="10" t="s">
        <v>285</v>
      </c>
      <c r="AD11" s="10" t="s">
        <v>283</v>
      </c>
      <c r="AE11" s="10" t="s">
        <v>55</v>
      </c>
      <c r="AF11" s="10" t="s">
        <v>168</v>
      </c>
      <c r="AG11" s="10" t="s">
        <v>291</v>
      </c>
      <c r="AH11" s="10" t="s">
        <v>292</v>
      </c>
      <c r="AI11" s="10" t="s">
        <v>293</v>
      </c>
      <c r="AJ11" s="10" t="s">
        <v>294</v>
      </c>
      <c r="AK11" s="3" t="s">
        <v>296</v>
      </c>
    </row>
    <row r="12">
      <c r="F12" s="8"/>
      <c r="G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F13" s="8"/>
      <c r="G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F14" s="8"/>
      <c r="G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F15" s="8"/>
      <c r="G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F16" s="8"/>
      <c r="G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F17" s="8"/>
      <c r="G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F19" s="8"/>
      <c r="G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F20" s="8"/>
      <c r="G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F21" s="8"/>
      <c r="G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F22" s="8"/>
      <c r="G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F23" s="8"/>
      <c r="G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F24" s="8"/>
      <c r="G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F25" s="8"/>
      <c r="G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F26" s="8"/>
      <c r="G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F27" s="8"/>
      <c r="G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F28" s="8"/>
      <c r="G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F29" s="8"/>
      <c r="G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F30" s="8"/>
      <c r="G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>
      <c r="F31" s="8"/>
      <c r="G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F32" s="8"/>
      <c r="G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>
      <c r="F33" s="8"/>
      <c r="G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F34" s="8"/>
      <c r="G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>
      <c r="F35" s="8"/>
      <c r="G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F36" s="8"/>
      <c r="G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>
      <c r="F37" s="8"/>
      <c r="G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F38" s="8"/>
      <c r="G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>
      <c r="F39" s="8"/>
      <c r="G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F40" s="8"/>
      <c r="G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>
      <c r="F41" s="8"/>
      <c r="G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F42" s="8"/>
      <c r="G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>
      <c r="F43" s="8"/>
      <c r="G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F44" s="8"/>
      <c r="G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>
      <c r="F45" s="8"/>
      <c r="G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F46" s="8"/>
      <c r="G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>
      <c r="F47" s="8"/>
      <c r="G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F48" s="8"/>
      <c r="G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>
      <c r="F49" s="8"/>
      <c r="G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F50" s="8"/>
      <c r="G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>
      <c r="F51" s="8"/>
      <c r="G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F52" s="8"/>
      <c r="G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>
      <c r="F53" s="8"/>
      <c r="G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F54" s="8"/>
      <c r="G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>
      <c r="F55" s="8"/>
      <c r="G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F56" s="8"/>
      <c r="G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>
      <c r="F57" s="8"/>
      <c r="G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F58" s="8"/>
      <c r="G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>
      <c r="F59" s="8"/>
      <c r="G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F60" s="8"/>
      <c r="G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>
      <c r="F61" s="8"/>
      <c r="G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F62" s="8"/>
      <c r="G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F63" s="8"/>
      <c r="G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F64" s="8"/>
      <c r="G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F65" s="8"/>
      <c r="G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F66" s="8"/>
      <c r="G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F67" s="8"/>
      <c r="G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F68" s="8"/>
      <c r="G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F69" s="8"/>
      <c r="G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F70" s="8"/>
      <c r="G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F71" s="8"/>
      <c r="G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F72" s="8"/>
      <c r="G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F73" s="8"/>
      <c r="G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F74" s="8"/>
      <c r="G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F75" s="8"/>
      <c r="G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F76" s="8"/>
      <c r="G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F77" s="8"/>
      <c r="G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F78" s="8"/>
      <c r="G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F79" s="8"/>
      <c r="G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F80" s="8"/>
      <c r="G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F81" s="8"/>
      <c r="G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F82" s="8"/>
      <c r="G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F83" s="8"/>
      <c r="G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F84" s="8"/>
      <c r="G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F85" s="8"/>
      <c r="G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F86" s="8"/>
      <c r="G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F87" s="8"/>
      <c r="G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F88" s="8"/>
      <c r="G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F89" s="8"/>
      <c r="G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F90" s="8"/>
      <c r="G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F91" s="8"/>
      <c r="G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F92" s="8"/>
      <c r="G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F93" s="8"/>
      <c r="G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F94" s="8"/>
      <c r="G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F95" s="8"/>
      <c r="G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F96" s="8"/>
      <c r="G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F97" s="8"/>
      <c r="G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F98" s="8"/>
      <c r="G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F99" s="8"/>
      <c r="G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F100" s="8"/>
      <c r="G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</sheetData>
  <autoFilter ref="$A$1:$AJ$11"/>
  <dataValidations>
    <dataValidation type="list" allowBlank="1" sqref="F2:G100 I2:AE100">
      <formula1>"YES,NO,PARTIAL,UNKNOWN,PROPOSED,IMPLEMENTED_MVP,FUTURE,RESEARCH,PLANNED"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2.0"/>
    <col customWidth="1" min="3" max="3" width="13.0"/>
    <col customWidth="1" min="4" max="4" width="11.88"/>
    <col customWidth="1" min="5" max="5" width="12.38"/>
    <col customWidth="1" min="6" max="6" width="27.63"/>
    <col customWidth="1" min="7" max="7" width="11.88"/>
    <col customWidth="1" min="8" max="8" width="8.75"/>
    <col customWidth="1" min="9" max="9" width="6.25"/>
    <col customWidth="1" min="10" max="10" width="10.63"/>
    <col customWidth="1" min="11" max="11" width="9.25"/>
    <col customWidth="1" min="12" max="12" width="11.25"/>
    <col customWidth="1" min="13" max="13" width="12.5"/>
    <col customWidth="1" min="14" max="14" width="11.0"/>
    <col customWidth="1" min="15" max="15" width="12.5"/>
    <col customWidth="1" min="16" max="16" width="12.0"/>
    <col customWidth="1" min="17" max="17" width="10.13"/>
    <col customWidth="1" min="18" max="18" width="12.13"/>
    <col customWidth="1" min="19" max="19" width="27.63"/>
  </cols>
  <sheetData>
    <row r="1">
      <c r="A1" s="1" t="s">
        <v>2</v>
      </c>
      <c r="B1" s="1" t="s">
        <v>3</v>
      </c>
      <c r="C1" s="1" t="s">
        <v>4</v>
      </c>
      <c r="D1" s="1" t="s">
        <v>7</v>
      </c>
      <c r="E1" s="1" t="s">
        <v>9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21</v>
      </c>
      <c r="K1" s="1" t="s">
        <v>6</v>
      </c>
      <c r="L1" s="1" t="s">
        <v>26</v>
      </c>
      <c r="M1" s="1" t="s">
        <v>30</v>
      </c>
      <c r="N1" s="1" t="s">
        <v>32</v>
      </c>
      <c r="O1" s="1" t="s">
        <v>18</v>
      </c>
      <c r="P1" s="1" t="s">
        <v>38</v>
      </c>
      <c r="Q1" s="1" t="s">
        <v>41</v>
      </c>
      <c r="R1" s="1" t="s">
        <v>43</v>
      </c>
      <c r="S1" s="1" t="s">
        <v>44</v>
      </c>
    </row>
    <row r="2">
      <c r="A2" s="4" t="s">
        <v>25</v>
      </c>
      <c r="B2" s="4" t="s">
        <v>46</v>
      </c>
      <c r="C2" s="4" t="s">
        <v>49</v>
      </c>
      <c r="D2" s="4" t="s">
        <v>52</v>
      </c>
      <c r="E2" s="4" t="s">
        <v>70</v>
      </c>
      <c r="F2" s="4" t="s">
        <v>73</v>
      </c>
      <c r="G2" s="4" t="s">
        <v>93</v>
      </c>
      <c r="H2" s="4">
        <v>2.0</v>
      </c>
      <c r="I2" s="4" t="s">
        <v>95</v>
      </c>
      <c r="J2" s="6"/>
      <c r="K2" s="4" t="s">
        <v>29</v>
      </c>
      <c r="L2" s="4">
        <v>345.0</v>
      </c>
      <c r="M2" s="4" t="s">
        <v>98</v>
      </c>
      <c r="N2" s="6"/>
      <c r="O2" s="4" t="s">
        <v>36</v>
      </c>
      <c r="P2" s="4" t="s">
        <v>66</v>
      </c>
      <c r="Q2" s="4" t="s">
        <v>66</v>
      </c>
      <c r="R2" s="4" t="s">
        <v>108</v>
      </c>
      <c r="S2" s="4" t="s">
        <v>110</v>
      </c>
    </row>
    <row r="3">
      <c r="A3" s="4" t="s">
        <v>40</v>
      </c>
      <c r="B3" s="4" t="s">
        <v>46</v>
      </c>
      <c r="C3" s="4" t="s">
        <v>115</v>
      </c>
      <c r="D3" s="6"/>
      <c r="E3" s="4" t="s">
        <v>118</v>
      </c>
      <c r="F3" s="4" t="s">
        <v>120</v>
      </c>
      <c r="G3" s="4" t="s">
        <v>93</v>
      </c>
      <c r="H3" s="4">
        <v>1.0</v>
      </c>
      <c r="I3" s="4" t="s">
        <v>124</v>
      </c>
      <c r="J3" s="6"/>
      <c r="K3" s="6"/>
      <c r="L3" s="6"/>
      <c r="M3" s="4" t="s">
        <v>127</v>
      </c>
      <c r="N3" s="6"/>
      <c r="O3" s="4" t="s">
        <v>130</v>
      </c>
      <c r="P3" s="4" t="s">
        <v>66</v>
      </c>
      <c r="Q3" s="4" t="s">
        <v>135</v>
      </c>
      <c r="R3" s="4" t="s">
        <v>136</v>
      </c>
      <c r="S3" s="4" t="s">
        <v>138</v>
      </c>
    </row>
    <row r="4">
      <c r="A4" s="4" t="s">
        <v>140</v>
      </c>
      <c r="B4" s="4" t="s">
        <v>46</v>
      </c>
      <c r="C4" s="4" t="s">
        <v>143</v>
      </c>
      <c r="D4" s="6"/>
      <c r="E4" s="4" t="s">
        <v>118</v>
      </c>
      <c r="F4" s="4" t="s">
        <v>146</v>
      </c>
      <c r="G4" s="4" t="s">
        <v>93</v>
      </c>
      <c r="H4" s="4">
        <v>1.0</v>
      </c>
      <c r="I4" s="4" t="s">
        <v>124</v>
      </c>
      <c r="J4" s="6"/>
      <c r="K4" s="6"/>
      <c r="L4" s="6"/>
      <c r="M4" s="4" t="s">
        <v>127</v>
      </c>
      <c r="N4" s="6"/>
      <c r="O4" s="4" t="s">
        <v>130</v>
      </c>
      <c r="P4" s="4" t="s">
        <v>66</v>
      </c>
      <c r="Q4" s="4" t="s">
        <v>135</v>
      </c>
      <c r="R4" s="4" t="s">
        <v>153</v>
      </c>
      <c r="S4" s="6"/>
    </row>
    <row r="5">
      <c r="A5" s="4" t="s">
        <v>154</v>
      </c>
      <c r="B5" s="4" t="s">
        <v>46</v>
      </c>
      <c r="C5" s="4" t="s">
        <v>155</v>
      </c>
      <c r="D5" s="6"/>
      <c r="E5" s="4" t="s">
        <v>118</v>
      </c>
      <c r="F5" s="4" t="s">
        <v>156</v>
      </c>
      <c r="G5" s="4" t="s">
        <v>93</v>
      </c>
      <c r="H5" s="4">
        <v>2.0</v>
      </c>
      <c r="I5" s="4" t="s">
        <v>95</v>
      </c>
      <c r="J5" s="6"/>
      <c r="K5" s="6"/>
      <c r="L5" s="6"/>
      <c r="M5" s="4" t="s">
        <v>127</v>
      </c>
      <c r="N5" s="6"/>
      <c r="O5" s="4" t="s">
        <v>36</v>
      </c>
      <c r="P5" s="4" t="s">
        <v>66</v>
      </c>
      <c r="Q5" s="4" t="s">
        <v>135</v>
      </c>
      <c r="R5" s="4" t="s">
        <v>158</v>
      </c>
      <c r="S5" s="6"/>
    </row>
    <row r="6">
      <c r="A6" s="4" t="s">
        <v>82</v>
      </c>
      <c r="B6" s="4" t="s">
        <v>160</v>
      </c>
      <c r="C6" s="4" t="s">
        <v>83</v>
      </c>
      <c r="D6" s="6"/>
      <c r="E6" s="4" t="s">
        <v>161</v>
      </c>
      <c r="F6" s="4" t="s">
        <v>162</v>
      </c>
      <c r="G6" s="4" t="s">
        <v>93</v>
      </c>
      <c r="H6" s="4">
        <v>1.0</v>
      </c>
      <c r="I6" s="4" t="s">
        <v>95</v>
      </c>
      <c r="J6" s="4">
        <v>0.0</v>
      </c>
      <c r="K6" s="6"/>
      <c r="L6" s="4">
        <v>0.0</v>
      </c>
      <c r="M6" s="4" t="s">
        <v>88</v>
      </c>
      <c r="N6" s="6"/>
      <c r="O6" s="4" t="s">
        <v>165</v>
      </c>
      <c r="P6" s="4" t="s">
        <v>66</v>
      </c>
      <c r="Q6" s="4" t="s">
        <v>31</v>
      </c>
      <c r="R6" s="4" t="s">
        <v>86</v>
      </c>
      <c r="S6" s="4" t="s">
        <v>166</v>
      </c>
    </row>
    <row r="7">
      <c r="A7" s="4" t="s">
        <v>54</v>
      </c>
      <c r="B7" s="4" t="s">
        <v>167</v>
      </c>
      <c r="C7" s="4" t="s">
        <v>169</v>
      </c>
      <c r="D7" s="6"/>
      <c r="E7" s="4" t="s">
        <v>118</v>
      </c>
      <c r="F7" s="4" t="s">
        <v>170</v>
      </c>
      <c r="G7" s="4" t="s">
        <v>93</v>
      </c>
      <c r="H7" s="4">
        <v>1.0</v>
      </c>
      <c r="I7" s="4" t="s">
        <v>95</v>
      </c>
      <c r="J7" s="6"/>
      <c r="K7" s="6"/>
      <c r="L7" s="6"/>
      <c r="M7" s="4" t="s">
        <v>127</v>
      </c>
      <c r="N7" s="6"/>
      <c r="O7" s="4" t="s">
        <v>171</v>
      </c>
      <c r="P7" s="4" t="s">
        <v>66</v>
      </c>
      <c r="Q7" s="4" t="s">
        <v>135</v>
      </c>
      <c r="R7" s="4" t="s">
        <v>59</v>
      </c>
      <c r="S7" s="4" t="s">
        <v>172</v>
      </c>
    </row>
    <row r="8">
      <c r="A8" s="4" t="s">
        <v>64</v>
      </c>
      <c r="B8" s="4" t="s">
        <v>173</v>
      </c>
      <c r="C8" s="4" t="s">
        <v>174</v>
      </c>
      <c r="D8" s="4" t="s">
        <v>175</v>
      </c>
      <c r="E8" s="4" t="s">
        <v>176</v>
      </c>
      <c r="F8" s="4" t="s">
        <v>177</v>
      </c>
      <c r="G8" s="4" t="s">
        <v>69</v>
      </c>
      <c r="H8" s="4">
        <v>1.0</v>
      </c>
      <c r="I8" s="4" t="s">
        <v>95</v>
      </c>
      <c r="J8" s="6"/>
      <c r="K8" s="4" t="s">
        <v>29</v>
      </c>
      <c r="L8" s="6"/>
      <c r="M8" s="4" t="s">
        <v>181</v>
      </c>
      <c r="N8" s="6"/>
      <c r="O8" s="4" t="s">
        <v>36</v>
      </c>
      <c r="P8" s="4" t="s">
        <v>66</v>
      </c>
      <c r="Q8" s="4" t="s">
        <v>66</v>
      </c>
      <c r="R8" s="4" t="s">
        <v>186</v>
      </c>
      <c r="S8" s="4" t="s">
        <v>187</v>
      </c>
    </row>
    <row r="9">
      <c r="A9" s="4" t="s">
        <v>71</v>
      </c>
      <c r="B9" s="4" t="s">
        <v>173</v>
      </c>
      <c r="C9" s="4" t="s">
        <v>189</v>
      </c>
      <c r="D9" s="4" t="s">
        <v>190</v>
      </c>
      <c r="E9" s="4" t="s">
        <v>191</v>
      </c>
      <c r="F9" s="4" t="s">
        <v>192</v>
      </c>
      <c r="G9" s="4" t="s">
        <v>69</v>
      </c>
      <c r="H9" s="4">
        <v>1.0</v>
      </c>
      <c r="I9" s="4" t="s">
        <v>95</v>
      </c>
      <c r="J9" s="6"/>
      <c r="K9" s="4" t="s">
        <v>29</v>
      </c>
      <c r="L9" s="6"/>
      <c r="M9" s="4" t="s">
        <v>181</v>
      </c>
      <c r="N9" s="6"/>
      <c r="O9" s="4" t="s">
        <v>36</v>
      </c>
      <c r="P9" s="4" t="s">
        <v>66</v>
      </c>
      <c r="Q9" s="4" t="s">
        <v>66</v>
      </c>
      <c r="R9" s="4" t="s">
        <v>186</v>
      </c>
      <c r="S9" s="4" t="s">
        <v>193</v>
      </c>
    </row>
    <row r="10">
      <c r="A10" s="4" t="s">
        <v>194</v>
      </c>
      <c r="B10" s="4" t="s">
        <v>173</v>
      </c>
      <c r="C10" s="4" t="s">
        <v>195</v>
      </c>
      <c r="D10" s="4" t="s">
        <v>196</v>
      </c>
      <c r="E10" s="4" t="s">
        <v>118</v>
      </c>
      <c r="F10" s="4" t="s">
        <v>197</v>
      </c>
      <c r="G10" s="4" t="s">
        <v>69</v>
      </c>
      <c r="H10" s="4">
        <v>1.0</v>
      </c>
      <c r="I10" s="4" t="s">
        <v>95</v>
      </c>
      <c r="J10" s="6"/>
      <c r="K10" s="6"/>
      <c r="L10" s="6"/>
      <c r="M10" s="4" t="s">
        <v>127</v>
      </c>
      <c r="N10" s="6"/>
      <c r="O10" s="4" t="s">
        <v>36</v>
      </c>
      <c r="P10" s="4" t="s">
        <v>66</v>
      </c>
      <c r="Q10" s="4" t="s">
        <v>66</v>
      </c>
      <c r="R10" s="4" t="s">
        <v>186</v>
      </c>
      <c r="S10" s="4" t="s">
        <v>200</v>
      </c>
    </row>
    <row r="11">
      <c r="A11" s="4" t="s">
        <v>202</v>
      </c>
      <c r="B11" s="4" t="s">
        <v>204</v>
      </c>
      <c r="C11" s="4" t="s">
        <v>205</v>
      </c>
      <c r="D11" s="6"/>
      <c r="E11" s="4" t="s">
        <v>207</v>
      </c>
      <c r="F11" s="4" t="s">
        <v>208</v>
      </c>
      <c r="G11" s="4" t="s">
        <v>93</v>
      </c>
      <c r="H11" s="4">
        <v>1.0</v>
      </c>
      <c r="I11" s="4" t="s">
        <v>95</v>
      </c>
      <c r="J11" s="6"/>
      <c r="K11" s="6"/>
      <c r="L11" s="6"/>
      <c r="M11" s="4" t="s">
        <v>127</v>
      </c>
      <c r="N11" s="6"/>
      <c r="O11" s="4" t="s">
        <v>209</v>
      </c>
      <c r="P11" s="4" t="s">
        <v>66</v>
      </c>
      <c r="Q11" s="4" t="s">
        <v>66</v>
      </c>
      <c r="R11" s="4" t="s">
        <v>210</v>
      </c>
      <c r="S11" s="4" t="s">
        <v>211</v>
      </c>
    </row>
    <row r="12">
      <c r="A12" s="4" t="s">
        <v>213</v>
      </c>
      <c r="B12" s="4" t="s">
        <v>204</v>
      </c>
      <c r="C12" s="4" t="s">
        <v>214</v>
      </c>
      <c r="D12" s="6"/>
      <c r="E12" s="4" t="s">
        <v>216</v>
      </c>
      <c r="F12" s="4" t="s">
        <v>217</v>
      </c>
      <c r="G12" s="4" t="s">
        <v>93</v>
      </c>
      <c r="H12" s="4">
        <v>1.0</v>
      </c>
      <c r="I12" s="4" t="s">
        <v>95</v>
      </c>
      <c r="J12" s="4">
        <v>0.0</v>
      </c>
      <c r="K12" s="6"/>
      <c r="L12" s="4">
        <v>0.0</v>
      </c>
      <c r="M12" s="4" t="s">
        <v>218</v>
      </c>
      <c r="N12" s="6"/>
      <c r="O12" s="4" t="s">
        <v>209</v>
      </c>
      <c r="P12" s="4" t="s">
        <v>66</v>
      </c>
      <c r="Q12" s="4" t="s">
        <v>135</v>
      </c>
      <c r="R12" s="4" t="s">
        <v>210</v>
      </c>
      <c r="S12" s="4" t="s">
        <v>219</v>
      </c>
    </row>
    <row r="13">
      <c r="A13" s="4" t="s">
        <v>89</v>
      </c>
      <c r="B13" s="4" t="s">
        <v>160</v>
      </c>
      <c r="C13" s="4" t="s">
        <v>90</v>
      </c>
      <c r="D13" s="6"/>
      <c r="E13" s="4" t="s">
        <v>161</v>
      </c>
      <c r="F13" s="4" t="s">
        <v>220</v>
      </c>
      <c r="G13" s="4" t="s">
        <v>93</v>
      </c>
      <c r="H13" s="4">
        <v>1.0</v>
      </c>
      <c r="I13" s="4" t="s">
        <v>95</v>
      </c>
      <c r="J13" s="4">
        <v>0.0</v>
      </c>
      <c r="K13" s="6"/>
      <c r="L13" s="4">
        <v>0.0</v>
      </c>
      <c r="M13" s="4" t="s">
        <v>88</v>
      </c>
      <c r="N13" s="6"/>
      <c r="O13" s="4" t="s">
        <v>165</v>
      </c>
      <c r="P13" s="4" t="s">
        <v>66</v>
      </c>
      <c r="Q13" s="4" t="s">
        <v>31</v>
      </c>
      <c r="R13" s="4" t="s">
        <v>86</v>
      </c>
      <c r="S13" s="4" t="s">
        <v>221</v>
      </c>
    </row>
    <row r="14">
      <c r="G14" s="8"/>
      <c r="P14" s="8"/>
      <c r="Q14" s="8"/>
    </row>
    <row r="15">
      <c r="G15" s="8"/>
      <c r="P15" s="8"/>
      <c r="Q15" s="8"/>
    </row>
    <row r="16">
      <c r="G16" s="8"/>
      <c r="P16" s="8"/>
      <c r="Q16" s="8"/>
    </row>
    <row r="17">
      <c r="G17" s="8"/>
      <c r="P17" s="8"/>
      <c r="Q17" s="8"/>
    </row>
    <row r="18">
      <c r="G18" s="8"/>
      <c r="P18" s="8"/>
      <c r="Q18" s="8"/>
    </row>
    <row r="19">
      <c r="G19" s="8"/>
      <c r="P19" s="8"/>
      <c r="Q19" s="8"/>
    </row>
    <row r="20">
      <c r="G20" s="8"/>
      <c r="P20" s="8"/>
      <c r="Q20" s="8"/>
    </row>
    <row r="21">
      <c r="G21" s="8"/>
      <c r="P21" s="8"/>
      <c r="Q21" s="8"/>
    </row>
    <row r="22">
      <c r="G22" s="8"/>
      <c r="P22" s="8"/>
      <c r="Q22" s="8"/>
    </row>
    <row r="23">
      <c r="G23" s="8"/>
      <c r="P23" s="8"/>
      <c r="Q23" s="8"/>
    </row>
    <row r="24">
      <c r="G24" s="8"/>
      <c r="P24" s="8"/>
      <c r="Q24" s="8"/>
    </row>
    <row r="25">
      <c r="G25" s="8"/>
      <c r="P25" s="8"/>
      <c r="Q25" s="8"/>
    </row>
    <row r="26">
      <c r="G26" s="8"/>
      <c r="P26" s="8"/>
      <c r="Q26" s="8"/>
    </row>
    <row r="27">
      <c r="G27" s="8"/>
      <c r="P27" s="8"/>
      <c r="Q27" s="8"/>
    </row>
    <row r="28">
      <c r="G28" s="8"/>
      <c r="P28" s="8"/>
      <c r="Q28" s="8"/>
    </row>
    <row r="29">
      <c r="G29" s="8"/>
      <c r="P29" s="8"/>
      <c r="Q29" s="8"/>
    </row>
    <row r="30">
      <c r="G30" s="8"/>
      <c r="P30" s="8"/>
      <c r="Q30" s="8"/>
    </row>
    <row r="31">
      <c r="G31" s="8"/>
      <c r="P31" s="8"/>
      <c r="Q31" s="8"/>
    </row>
    <row r="32">
      <c r="G32" s="8"/>
      <c r="P32" s="8"/>
      <c r="Q32" s="8"/>
    </row>
    <row r="33">
      <c r="G33" s="8"/>
      <c r="P33" s="8"/>
      <c r="Q33" s="8"/>
    </row>
    <row r="34">
      <c r="G34" s="8"/>
      <c r="P34" s="8"/>
      <c r="Q34" s="8"/>
    </row>
    <row r="35">
      <c r="G35" s="8"/>
      <c r="P35" s="8"/>
      <c r="Q35" s="8"/>
    </row>
    <row r="36">
      <c r="G36" s="8"/>
      <c r="P36" s="8"/>
      <c r="Q36" s="8"/>
    </row>
    <row r="37">
      <c r="G37" s="8"/>
      <c r="P37" s="8"/>
      <c r="Q37" s="8"/>
    </row>
    <row r="38">
      <c r="G38" s="8"/>
      <c r="P38" s="8"/>
      <c r="Q38" s="8"/>
    </row>
    <row r="39">
      <c r="G39" s="8"/>
      <c r="P39" s="8"/>
      <c r="Q39" s="8"/>
    </row>
    <row r="40">
      <c r="G40" s="8"/>
      <c r="P40" s="8"/>
      <c r="Q40" s="8"/>
    </row>
    <row r="41">
      <c r="G41" s="8"/>
      <c r="P41" s="8"/>
      <c r="Q41" s="8"/>
    </row>
    <row r="42">
      <c r="G42" s="8"/>
      <c r="P42" s="8"/>
      <c r="Q42" s="8"/>
    </row>
    <row r="43">
      <c r="G43" s="8"/>
      <c r="P43" s="8"/>
      <c r="Q43" s="8"/>
    </row>
    <row r="44">
      <c r="G44" s="8"/>
      <c r="P44" s="8"/>
      <c r="Q44" s="8"/>
    </row>
    <row r="45">
      <c r="G45" s="8"/>
      <c r="P45" s="8"/>
      <c r="Q45" s="8"/>
    </row>
    <row r="46">
      <c r="G46" s="8"/>
      <c r="P46" s="8"/>
      <c r="Q46" s="8"/>
    </row>
    <row r="47">
      <c r="G47" s="8"/>
      <c r="P47" s="8"/>
      <c r="Q47" s="8"/>
    </row>
    <row r="48">
      <c r="G48" s="8"/>
      <c r="P48" s="8"/>
      <c r="Q48" s="8"/>
    </row>
    <row r="49">
      <c r="G49" s="8"/>
      <c r="P49" s="8"/>
      <c r="Q49" s="8"/>
    </row>
    <row r="50">
      <c r="G50" s="8"/>
      <c r="P50" s="8"/>
      <c r="Q50" s="8"/>
    </row>
    <row r="51">
      <c r="G51" s="8"/>
      <c r="P51" s="8"/>
      <c r="Q51" s="8"/>
    </row>
    <row r="52">
      <c r="G52" s="8"/>
      <c r="P52" s="8"/>
      <c r="Q52" s="8"/>
    </row>
    <row r="53">
      <c r="G53" s="8"/>
      <c r="P53" s="8"/>
      <c r="Q53" s="8"/>
    </row>
    <row r="54">
      <c r="G54" s="8"/>
      <c r="P54" s="8"/>
      <c r="Q54" s="8"/>
    </row>
    <row r="55">
      <c r="G55" s="8"/>
      <c r="P55" s="8"/>
      <c r="Q55" s="8"/>
    </row>
    <row r="56">
      <c r="G56" s="8"/>
      <c r="P56" s="8"/>
      <c r="Q56" s="8"/>
    </row>
    <row r="57">
      <c r="G57" s="8"/>
      <c r="P57" s="8"/>
      <c r="Q57" s="8"/>
    </row>
    <row r="58">
      <c r="G58" s="8"/>
      <c r="P58" s="8"/>
      <c r="Q58" s="8"/>
    </row>
    <row r="59">
      <c r="G59" s="8"/>
      <c r="P59" s="8"/>
      <c r="Q59" s="8"/>
    </row>
    <row r="60">
      <c r="G60" s="8"/>
      <c r="P60" s="8"/>
      <c r="Q60" s="8"/>
    </row>
    <row r="61">
      <c r="G61" s="8"/>
      <c r="P61" s="8"/>
      <c r="Q61" s="8"/>
    </row>
    <row r="62">
      <c r="G62" s="8"/>
      <c r="P62" s="8"/>
      <c r="Q62" s="8"/>
    </row>
    <row r="63">
      <c r="G63" s="8"/>
      <c r="P63" s="8"/>
      <c r="Q63" s="8"/>
    </row>
    <row r="64">
      <c r="G64" s="8"/>
      <c r="P64" s="8"/>
      <c r="Q64" s="8"/>
    </row>
    <row r="65">
      <c r="G65" s="8"/>
      <c r="P65" s="8"/>
      <c r="Q65" s="8"/>
    </row>
    <row r="66">
      <c r="G66" s="8"/>
      <c r="P66" s="8"/>
      <c r="Q66" s="8"/>
    </row>
    <row r="67">
      <c r="G67" s="8"/>
      <c r="P67" s="8"/>
      <c r="Q67" s="8"/>
    </row>
    <row r="68">
      <c r="G68" s="8"/>
      <c r="P68" s="8"/>
      <c r="Q68" s="8"/>
    </row>
    <row r="69">
      <c r="G69" s="8"/>
      <c r="P69" s="8"/>
      <c r="Q69" s="8"/>
    </row>
    <row r="70">
      <c r="G70" s="8"/>
      <c r="P70" s="8"/>
      <c r="Q70" s="8"/>
    </row>
    <row r="71">
      <c r="G71" s="8"/>
      <c r="P71" s="8"/>
      <c r="Q71" s="8"/>
    </row>
    <row r="72">
      <c r="G72" s="8"/>
      <c r="P72" s="8"/>
      <c r="Q72" s="8"/>
    </row>
    <row r="73">
      <c r="G73" s="8"/>
      <c r="P73" s="8"/>
      <c r="Q73" s="8"/>
    </row>
    <row r="74">
      <c r="G74" s="8"/>
      <c r="P74" s="8"/>
      <c r="Q74" s="8"/>
    </row>
    <row r="75">
      <c r="G75" s="8"/>
      <c r="P75" s="8"/>
      <c r="Q75" s="8"/>
    </row>
    <row r="76">
      <c r="G76" s="8"/>
      <c r="P76" s="8"/>
      <c r="Q76" s="8"/>
    </row>
    <row r="77">
      <c r="G77" s="8"/>
      <c r="P77" s="8"/>
      <c r="Q77" s="8"/>
    </row>
    <row r="78">
      <c r="G78" s="8"/>
      <c r="P78" s="8"/>
      <c r="Q78" s="8"/>
    </row>
    <row r="79">
      <c r="G79" s="8"/>
      <c r="P79" s="8"/>
      <c r="Q79" s="8"/>
    </row>
    <row r="80">
      <c r="G80" s="8"/>
      <c r="P80" s="8"/>
      <c r="Q80" s="8"/>
    </row>
    <row r="81">
      <c r="G81" s="8"/>
      <c r="P81" s="8"/>
      <c r="Q81" s="8"/>
    </row>
    <row r="82">
      <c r="G82" s="8"/>
      <c r="P82" s="8"/>
      <c r="Q82" s="8"/>
    </row>
    <row r="83">
      <c r="G83" s="8"/>
      <c r="P83" s="8"/>
      <c r="Q83" s="8"/>
    </row>
    <row r="84">
      <c r="G84" s="8"/>
      <c r="P84" s="8"/>
      <c r="Q84" s="8"/>
    </row>
    <row r="85">
      <c r="G85" s="8"/>
      <c r="P85" s="8"/>
      <c r="Q85" s="8"/>
    </row>
    <row r="86">
      <c r="G86" s="8"/>
      <c r="P86" s="8"/>
      <c r="Q86" s="8"/>
    </row>
    <row r="87">
      <c r="G87" s="8"/>
      <c r="P87" s="8"/>
      <c r="Q87" s="8"/>
    </row>
    <row r="88">
      <c r="G88" s="8"/>
      <c r="P88" s="8"/>
      <c r="Q88" s="8"/>
    </row>
    <row r="89">
      <c r="G89" s="8"/>
      <c r="P89" s="8"/>
      <c r="Q89" s="8"/>
    </row>
    <row r="90">
      <c r="G90" s="8"/>
      <c r="P90" s="8"/>
      <c r="Q90" s="8"/>
    </row>
    <row r="91">
      <c r="G91" s="8"/>
      <c r="P91" s="8"/>
      <c r="Q91" s="8"/>
    </row>
    <row r="92">
      <c r="G92" s="8"/>
      <c r="P92" s="8"/>
      <c r="Q92" s="8"/>
    </row>
    <row r="93">
      <c r="G93" s="8"/>
      <c r="P93" s="8"/>
      <c r="Q93" s="8"/>
    </row>
    <row r="94">
      <c r="G94" s="8"/>
      <c r="P94" s="8"/>
      <c r="Q94" s="8"/>
    </row>
    <row r="95">
      <c r="G95" s="8"/>
      <c r="P95" s="8"/>
      <c r="Q95" s="8"/>
    </row>
    <row r="96">
      <c r="G96" s="8"/>
      <c r="P96" s="8"/>
      <c r="Q96" s="8"/>
    </row>
    <row r="97">
      <c r="G97" s="8"/>
      <c r="P97" s="8"/>
      <c r="Q97" s="8"/>
    </row>
    <row r="98">
      <c r="G98" s="8"/>
      <c r="P98" s="8"/>
      <c r="Q98" s="8"/>
    </row>
    <row r="99">
      <c r="G99" s="8"/>
      <c r="P99" s="8"/>
      <c r="Q99" s="8"/>
    </row>
    <row r="100">
      <c r="G100" s="8"/>
      <c r="P100" s="8"/>
      <c r="Q100" s="8"/>
    </row>
  </sheetData>
  <autoFilter ref="$A$1:$S$13"/>
  <dataValidations>
    <dataValidation type="list" allowBlank="1" sqref="P2:Q100">
      <formula1>"YES,NO,UNKNOWN"</formula1>
    </dataValidation>
    <dataValidation type="list" allowBlank="1" sqref="G2:G100">
      <formula1>"REQUIRED,OPTIONAL"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8.63"/>
    <col customWidth="1" min="3" max="3" width="12.75"/>
    <col customWidth="1" min="4" max="4" width="5.88"/>
    <col customWidth="1" min="5" max="5" width="9.25"/>
    <col customWidth="1" min="6" max="6" width="6.75"/>
    <col customWidth="1" min="7" max="7" width="12.13"/>
    <col customWidth="1" min="8" max="8" width="12.0"/>
    <col customWidth="1" min="9" max="9" width="12.5"/>
    <col customWidth="1" min="10" max="10" width="8.88"/>
    <col customWidth="1" min="11" max="12" width="11.8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16</v>
      </c>
      <c r="K1" s="1" t="s">
        <v>18</v>
      </c>
      <c r="L1" s="1" t="s">
        <v>19</v>
      </c>
    </row>
    <row r="2">
      <c r="A2" s="4" t="s">
        <v>23</v>
      </c>
      <c r="B2" s="4" t="s">
        <v>25</v>
      </c>
      <c r="C2" s="4" t="s">
        <v>27</v>
      </c>
      <c r="D2" s="4">
        <v>2.0</v>
      </c>
      <c r="E2" s="4" t="s">
        <v>29</v>
      </c>
      <c r="F2" s="4">
        <v>345.0</v>
      </c>
      <c r="G2" s="4" t="s">
        <v>31</v>
      </c>
      <c r="H2" s="4" t="s">
        <v>33</v>
      </c>
      <c r="I2" s="4" t="s">
        <v>31</v>
      </c>
      <c r="J2" s="4" t="s">
        <v>35</v>
      </c>
      <c r="K2" s="4" t="s">
        <v>36</v>
      </c>
      <c r="L2" s="4" t="s">
        <v>37</v>
      </c>
    </row>
    <row r="3">
      <c r="A3" s="4" t="s">
        <v>23</v>
      </c>
      <c r="B3" s="4" t="s">
        <v>40</v>
      </c>
      <c r="C3" s="4" t="s">
        <v>42</v>
      </c>
      <c r="D3" s="4">
        <v>1.0</v>
      </c>
      <c r="E3" s="6"/>
      <c r="F3" s="6"/>
      <c r="G3" s="4" t="s">
        <v>31</v>
      </c>
      <c r="H3" s="4" t="s">
        <v>45</v>
      </c>
      <c r="I3" s="4" t="s">
        <v>31</v>
      </c>
      <c r="J3" s="4" t="s">
        <v>35</v>
      </c>
      <c r="K3" s="4" t="s">
        <v>48</v>
      </c>
      <c r="L3" s="4" t="s">
        <v>51</v>
      </c>
    </row>
    <row r="4">
      <c r="A4" s="4" t="s">
        <v>23</v>
      </c>
      <c r="B4" s="4" t="s">
        <v>54</v>
      </c>
      <c r="C4" s="4" t="s">
        <v>56</v>
      </c>
      <c r="D4" s="4">
        <v>1.0</v>
      </c>
      <c r="E4" s="6"/>
      <c r="F4" s="6"/>
      <c r="G4" s="4" t="s">
        <v>31</v>
      </c>
      <c r="H4" s="4" t="s">
        <v>57</v>
      </c>
      <c r="I4" s="4" t="s">
        <v>31</v>
      </c>
      <c r="J4" s="4" t="s">
        <v>35</v>
      </c>
      <c r="K4" s="4" t="s">
        <v>59</v>
      </c>
      <c r="L4" s="4" t="s">
        <v>60</v>
      </c>
    </row>
    <row r="5">
      <c r="A5" s="4" t="s">
        <v>62</v>
      </c>
      <c r="B5" s="4" t="s">
        <v>64</v>
      </c>
      <c r="C5" s="4" t="s">
        <v>65</v>
      </c>
      <c r="D5" s="4">
        <v>1.0</v>
      </c>
      <c r="E5" s="4" t="s">
        <v>29</v>
      </c>
      <c r="F5" s="6"/>
      <c r="G5" s="4" t="s">
        <v>66</v>
      </c>
      <c r="H5" s="4" t="s">
        <v>67</v>
      </c>
      <c r="I5" s="4" t="s">
        <v>66</v>
      </c>
      <c r="J5" s="4" t="s">
        <v>68</v>
      </c>
      <c r="K5" s="4" t="s">
        <v>36</v>
      </c>
      <c r="L5" s="4" t="s">
        <v>69</v>
      </c>
    </row>
    <row r="6">
      <c r="A6" s="4" t="s">
        <v>62</v>
      </c>
      <c r="B6" s="4" t="s">
        <v>71</v>
      </c>
      <c r="C6" s="4" t="s">
        <v>72</v>
      </c>
      <c r="D6" s="4">
        <v>1.0</v>
      </c>
      <c r="E6" s="4" t="s">
        <v>29</v>
      </c>
      <c r="F6" s="6"/>
      <c r="G6" s="4" t="s">
        <v>66</v>
      </c>
      <c r="H6" s="4" t="s">
        <v>76</v>
      </c>
      <c r="I6" s="4" t="s">
        <v>66</v>
      </c>
      <c r="J6" s="4" t="s">
        <v>68</v>
      </c>
      <c r="K6" s="4" t="s">
        <v>36</v>
      </c>
      <c r="L6" s="4" t="s">
        <v>69</v>
      </c>
    </row>
    <row r="7">
      <c r="A7" s="4" t="s">
        <v>80</v>
      </c>
      <c r="B7" s="4" t="s">
        <v>82</v>
      </c>
      <c r="C7" s="4" t="s">
        <v>83</v>
      </c>
      <c r="D7" s="4">
        <v>1.0</v>
      </c>
      <c r="E7" s="6"/>
      <c r="F7" s="4">
        <v>0.0</v>
      </c>
      <c r="G7" s="4" t="s">
        <v>31</v>
      </c>
      <c r="H7" s="4" t="s">
        <v>85</v>
      </c>
      <c r="I7" s="4" t="s">
        <v>31</v>
      </c>
      <c r="J7" s="4" t="s">
        <v>35</v>
      </c>
      <c r="K7" s="4" t="s">
        <v>86</v>
      </c>
      <c r="L7" s="4" t="s">
        <v>88</v>
      </c>
    </row>
    <row r="8">
      <c r="A8" s="4" t="s">
        <v>80</v>
      </c>
      <c r="B8" s="4" t="s">
        <v>89</v>
      </c>
      <c r="C8" s="4" t="s">
        <v>90</v>
      </c>
      <c r="D8" s="4">
        <v>1.0</v>
      </c>
      <c r="E8" s="6"/>
      <c r="F8" s="4">
        <v>0.0</v>
      </c>
      <c r="G8" s="4" t="s">
        <v>31</v>
      </c>
      <c r="H8" s="4" t="s">
        <v>91</v>
      </c>
      <c r="I8" s="4" t="s">
        <v>31</v>
      </c>
      <c r="J8" s="4" t="s">
        <v>35</v>
      </c>
      <c r="K8" s="4" t="s">
        <v>86</v>
      </c>
      <c r="L8" s="4" t="s">
        <v>88</v>
      </c>
    </row>
    <row r="10">
      <c r="A10" s="7" t="s">
        <v>84</v>
      </c>
      <c r="B10" s="7"/>
      <c r="C10" s="7"/>
      <c r="D10" s="7"/>
      <c r="E10" s="7"/>
      <c r="F10" s="7"/>
      <c r="G10" s="7"/>
    </row>
    <row r="11">
      <c r="A11" s="3" t="s">
        <v>96</v>
      </c>
      <c r="E11" s="3" t="s">
        <v>29</v>
      </c>
      <c r="F11" s="8">
        <f>SUMIF(E2:E8,"USD",F2:F8)</f>
        <v>345</v>
      </c>
    </row>
    <row r="12">
      <c r="A12" s="3" t="s">
        <v>119</v>
      </c>
      <c r="F12" s="8">
        <f>COUNTIF(L2:L8,"*QUOTE*")+COUNTIF(L2:L8,"*ACCESS*")</f>
        <v>3</v>
      </c>
    </row>
  </sheetData>
  <autoFilter ref="$A$1:$L$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1.13"/>
    <col customWidth="1" min="3" max="3" width="27.63"/>
    <col customWidth="1" min="4" max="4" width="11.63"/>
    <col customWidth="1" min="5" max="8" width="27.63"/>
    <col customWidth="1" min="9" max="9" width="12.0"/>
    <col customWidth="1" min="10" max="12" width="27.63"/>
    <col customWidth="1" min="13" max="13" width="11.75"/>
    <col customWidth="1" min="14" max="14" width="27.63"/>
    <col customWidth="1" min="15" max="16" width="12.38"/>
    <col customWidth="1" min="17" max="17" width="9.75"/>
    <col customWidth="1" min="18" max="18" width="11.88"/>
    <col customWidth="1" min="19" max="19" width="9.38"/>
    <col customWidth="1" min="20" max="20" width="8.13"/>
    <col customWidth="1" min="21" max="21" width="27.63"/>
  </cols>
  <sheetData>
    <row r="1">
      <c r="A1" s="1" t="s">
        <v>288</v>
      </c>
      <c r="B1" s="1" t="s">
        <v>289</v>
      </c>
      <c r="C1" s="1" t="s">
        <v>290</v>
      </c>
      <c r="D1" s="1" t="s">
        <v>97</v>
      </c>
      <c r="E1" s="1" t="s">
        <v>295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</row>
    <row r="2">
      <c r="A2" s="4" t="s">
        <v>59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  <c r="H2" s="4" t="s">
        <v>319</v>
      </c>
      <c r="I2" s="4" t="s">
        <v>320</v>
      </c>
      <c r="J2" s="4" t="s">
        <v>321</v>
      </c>
      <c r="K2" s="4" t="s">
        <v>322</v>
      </c>
      <c r="L2" s="4" t="s">
        <v>323</v>
      </c>
      <c r="M2" s="4" t="s">
        <v>118</v>
      </c>
      <c r="N2" s="4" t="s">
        <v>324</v>
      </c>
      <c r="O2" s="4" t="s">
        <v>325</v>
      </c>
      <c r="P2" s="4" t="s">
        <v>22</v>
      </c>
      <c r="Q2" s="6"/>
      <c r="R2" s="6"/>
      <c r="S2" s="4" t="s">
        <v>75</v>
      </c>
      <c r="T2" s="6"/>
      <c r="U2" s="4" t="s">
        <v>326</v>
      </c>
    </row>
    <row r="3">
      <c r="A3" s="4" t="s">
        <v>327</v>
      </c>
      <c r="B3" s="4" t="s">
        <v>328</v>
      </c>
      <c r="C3" s="4" t="s">
        <v>329</v>
      </c>
      <c r="D3" s="4" t="s">
        <v>315</v>
      </c>
      <c r="E3" s="4" t="s">
        <v>331</v>
      </c>
      <c r="F3" s="4" t="s">
        <v>332</v>
      </c>
      <c r="G3" s="4" t="s">
        <v>334</v>
      </c>
      <c r="H3" s="4" t="s">
        <v>335</v>
      </c>
      <c r="I3" s="4" t="s">
        <v>336</v>
      </c>
      <c r="J3" s="4" t="s">
        <v>338</v>
      </c>
      <c r="K3" s="4" t="s">
        <v>339</v>
      </c>
      <c r="L3" s="4" t="s">
        <v>341</v>
      </c>
      <c r="M3" s="4" t="s">
        <v>118</v>
      </c>
      <c r="N3" s="4" t="s">
        <v>343</v>
      </c>
      <c r="O3" s="4" t="s">
        <v>344</v>
      </c>
      <c r="P3" s="4" t="s">
        <v>22</v>
      </c>
      <c r="Q3" s="6"/>
      <c r="R3" s="6"/>
      <c r="S3" s="4" t="s">
        <v>75</v>
      </c>
      <c r="T3" s="6"/>
      <c r="U3" s="6"/>
    </row>
    <row r="4">
      <c r="A4" s="4" t="s">
        <v>348</v>
      </c>
      <c r="B4" s="4" t="s">
        <v>350</v>
      </c>
      <c r="C4" s="4" t="s">
        <v>351</v>
      </c>
      <c r="D4" s="4" t="s">
        <v>315</v>
      </c>
      <c r="E4" s="4" t="s">
        <v>354</v>
      </c>
      <c r="F4" s="4" t="s">
        <v>356</v>
      </c>
      <c r="G4" s="4" t="s">
        <v>357</v>
      </c>
      <c r="H4" s="4" t="s">
        <v>359</v>
      </c>
      <c r="I4" s="4" t="s">
        <v>360</v>
      </c>
      <c r="J4" s="4" t="s">
        <v>362</v>
      </c>
      <c r="K4" s="4" t="s">
        <v>363</v>
      </c>
      <c r="L4" s="4" t="s">
        <v>364</v>
      </c>
      <c r="M4" s="4" t="s">
        <v>118</v>
      </c>
      <c r="N4" s="4" t="s">
        <v>366</v>
      </c>
      <c r="O4" s="4" t="s">
        <v>367</v>
      </c>
      <c r="P4" s="4" t="s">
        <v>22</v>
      </c>
      <c r="Q4" s="6"/>
      <c r="R4" s="6"/>
      <c r="S4" s="4" t="s">
        <v>75</v>
      </c>
      <c r="T4" s="6"/>
      <c r="U4" s="4" t="s">
        <v>372</v>
      </c>
    </row>
    <row r="5">
      <c r="A5" s="4" t="s">
        <v>86</v>
      </c>
      <c r="B5" s="4" t="s">
        <v>375</v>
      </c>
      <c r="C5" s="4" t="s">
        <v>376</v>
      </c>
      <c r="D5" s="4" t="s">
        <v>377</v>
      </c>
      <c r="E5" s="4" t="s">
        <v>379</v>
      </c>
      <c r="F5" s="4" t="s">
        <v>85</v>
      </c>
      <c r="G5" s="4" t="s">
        <v>381</v>
      </c>
      <c r="H5" s="4" t="s">
        <v>382</v>
      </c>
      <c r="I5" s="4" t="s">
        <v>365</v>
      </c>
      <c r="J5" s="4" t="s">
        <v>383</v>
      </c>
      <c r="K5" s="4" t="s">
        <v>384</v>
      </c>
      <c r="L5" s="4" t="s">
        <v>386</v>
      </c>
      <c r="M5" s="4" t="s">
        <v>118</v>
      </c>
      <c r="N5" s="4" t="s">
        <v>389</v>
      </c>
      <c r="O5" s="4" t="s">
        <v>391</v>
      </c>
      <c r="P5" s="4" t="s">
        <v>22</v>
      </c>
      <c r="Q5" s="6"/>
      <c r="R5" s="6"/>
      <c r="S5" s="4" t="s">
        <v>75</v>
      </c>
      <c r="T5" s="6"/>
      <c r="U5" s="4" t="s">
        <v>392</v>
      </c>
    </row>
    <row r="6">
      <c r="A6" s="4" t="s">
        <v>210</v>
      </c>
      <c r="B6" s="4" t="s">
        <v>394</v>
      </c>
      <c r="C6" s="4" t="s">
        <v>395</v>
      </c>
      <c r="D6" s="4" t="s">
        <v>315</v>
      </c>
      <c r="E6" s="4" t="s">
        <v>396</v>
      </c>
      <c r="F6" s="4" t="s">
        <v>397</v>
      </c>
      <c r="G6" s="4" t="s">
        <v>398</v>
      </c>
      <c r="H6" s="4" t="s">
        <v>399</v>
      </c>
      <c r="I6" s="4" t="s">
        <v>400</v>
      </c>
      <c r="J6" s="4" t="s">
        <v>402</v>
      </c>
      <c r="K6" s="4" t="s">
        <v>403</v>
      </c>
      <c r="L6" s="4" t="s">
        <v>404</v>
      </c>
      <c r="M6" s="4" t="s">
        <v>118</v>
      </c>
      <c r="N6" s="4" t="s">
        <v>405</v>
      </c>
      <c r="O6" s="4" t="s">
        <v>406</v>
      </c>
      <c r="P6" s="4" t="s">
        <v>22</v>
      </c>
      <c r="Q6" s="6"/>
      <c r="R6" s="6"/>
      <c r="S6" s="4" t="s">
        <v>75</v>
      </c>
      <c r="T6" s="6"/>
      <c r="U6" s="4" t="s">
        <v>407</v>
      </c>
    </row>
    <row r="7">
      <c r="D7" s="8"/>
      <c r="S7" s="8"/>
    </row>
    <row r="8">
      <c r="D8" s="8"/>
      <c r="S8" s="8"/>
    </row>
    <row r="9">
      <c r="D9" s="8"/>
      <c r="S9" s="8"/>
    </row>
    <row r="10">
      <c r="D10" s="8"/>
      <c r="S10" s="8"/>
    </row>
    <row r="11">
      <c r="D11" s="8"/>
      <c r="S11" s="8"/>
    </row>
    <row r="12">
      <c r="D12" s="8"/>
      <c r="S12" s="8"/>
    </row>
    <row r="13">
      <c r="D13" s="8"/>
      <c r="S13" s="8"/>
    </row>
    <row r="14">
      <c r="D14" s="8"/>
      <c r="S14" s="8"/>
    </row>
    <row r="15">
      <c r="D15" s="8"/>
      <c r="S15" s="8"/>
    </row>
    <row r="16">
      <c r="D16" s="8"/>
      <c r="S16" s="8"/>
    </row>
    <row r="17">
      <c r="D17" s="8"/>
      <c r="S17" s="8"/>
    </row>
    <row r="18">
      <c r="D18" s="8"/>
      <c r="S18" s="8"/>
    </row>
    <row r="19">
      <c r="D19" s="8"/>
      <c r="S19" s="8"/>
    </row>
    <row r="20">
      <c r="D20" s="8"/>
      <c r="S20" s="8"/>
    </row>
    <row r="21">
      <c r="D21" s="8"/>
      <c r="S21" s="8"/>
    </row>
    <row r="22">
      <c r="D22" s="8"/>
      <c r="S22" s="8"/>
    </row>
    <row r="23">
      <c r="D23" s="8"/>
      <c r="S23" s="8"/>
    </row>
    <row r="24">
      <c r="D24" s="8"/>
      <c r="S24" s="8"/>
    </row>
    <row r="25">
      <c r="D25" s="8"/>
      <c r="S25" s="8"/>
    </row>
    <row r="26">
      <c r="D26" s="8"/>
      <c r="S26" s="8"/>
    </row>
    <row r="27">
      <c r="D27" s="8"/>
      <c r="S27" s="8"/>
    </row>
    <row r="28">
      <c r="D28" s="8"/>
      <c r="S28" s="8"/>
    </row>
    <row r="29">
      <c r="D29" s="8"/>
      <c r="S29" s="8"/>
    </row>
    <row r="30">
      <c r="D30" s="8"/>
      <c r="S30" s="8"/>
    </row>
    <row r="31">
      <c r="D31" s="8"/>
      <c r="S31" s="8"/>
    </row>
    <row r="32">
      <c r="D32" s="8"/>
      <c r="S32" s="8"/>
    </row>
    <row r="33">
      <c r="D33" s="8"/>
      <c r="S33" s="8"/>
    </row>
    <row r="34">
      <c r="D34" s="8"/>
      <c r="S34" s="8"/>
    </row>
    <row r="35">
      <c r="D35" s="8"/>
      <c r="S35" s="8"/>
    </row>
    <row r="36">
      <c r="D36" s="8"/>
      <c r="S36" s="8"/>
    </row>
    <row r="37">
      <c r="D37" s="8"/>
      <c r="S37" s="8"/>
    </row>
    <row r="38">
      <c r="D38" s="8"/>
      <c r="S38" s="8"/>
    </row>
    <row r="39">
      <c r="D39" s="8"/>
      <c r="S39" s="8"/>
    </row>
    <row r="40">
      <c r="D40" s="8"/>
      <c r="S40" s="8"/>
    </row>
    <row r="41">
      <c r="D41" s="8"/>
      <c r="S41" s="8"/>
    </row>
    <row r="42">
      <c r="D42" s="8"/>
      <c r="S42" s="8"/>
    </row>
    <row r="43">
      <c r="D43" s="8"/>
      <c r="S43" s="8"/>
    </row>
    <row r="44">
      <c r="D44" s="8"/>
      <c r="S44" s="8"/>
    </row>
    <row r="45">
      <c r="D45" s="8"/>
      <c r="S45" s="8"/>
    </row>
    <row r="46">
      <c r="D46" s="8"/>
      <c r="S46" s="8"/>
    </row>
    <row r="47">
      <c r="D47" s="8"/>
      <c r="S47" s="8"/>
    </row>
    <row r="48">
      <c r="D48" s="8"/>
      <c r="S48" s="8"/>
    </row>
    <row r="49">
      <c r="D49" s="8"/>
      <c r="S49" s="8"/>
    </row>
    <row r="50">
      <c r="D50" s="8"/>
      <c r="S50" s="8"/>
    </row>
    <row r="51">
      <c r="D51" s="8"/>
      <c r="S51" s="8"/>
    </row>
    <row r="52">
      <c r="D52" s="8"/>
      <c r="S52" s="8"/>
    </row>
    <row r="53">
      <c r="D53" s="8"/>
      <c r="S53" s="8"/>
    </row>
    <row r="54">
      <c r="D54" s="8"/>
      <c r="S54" s="8"/>
    </row>
    <row r="55">
      <c r="D55" s="8"/>
      <c r="S55" s="8"/>
    </row>
    <row r="56">
      <c r="D56" s="8"/>
      <c r="S56" s="8"/>
    </row>
    <row r="57">
      <c r="D57" s="8"/>
      <c r="S57" s="8"/>
    </row>
    <row r="58">
      <c r="D58" s="8"/>
      <c r="S58" s="8"/>
    </row>
    <row r="59">
      <c r="D59" s="8"/>
      <c r="S59" s="8"/>
    </row>
    <row r="60">
      <c r="D60" s="8"/>
      <c r="S60" s="8"/>
    </row>
    <row r="61">
      <c r="D61" s="8"/>
      <c r="S61" s="8"/>
    </row>
    <row r="62">
      <c r="D62" s="8"/>
      <c r="S62" s="8"/>
    </row>
    <row r="63">
      <c r="D63" s="8"/>
      <c r="S63" s="8"/>
    </row>
    <row r="64">
      <c r="D64" s="8"/>
      <c r="S64" s="8"/>
    </row>
    <row r="65">
      <c r="D65" s="8"/>
      <c r="S65" s="8"/>
    </row>
    <row r="66">
      <c r="D66" s="8"/>
      <c r="S66" s="8"/>
    </row>
    <row r="67">
      <c r="D67" s="8"/>
      <c r="S67" s="8"/>
    </row>
    <row r="68">
      <c r="D68" s="8"/>
      <c r="S68" s="8"/>
    </row>
    <row r="69">
      <c r="D69" s="8"/>
      <c r="S69" s="8"/>
    </row>
    <row r="70">
      <c r="D70" s="8"/>
      <c r="S70" s="8"/>
    </row>
    <row r="71">
      <c r="D71" s="8"/>
      <c r="S71" s="8"/>
    </row>
    <row r="72">
      <c r="D72" s="8"/>
      <c r="S72" s="8"/>
    </row>
    <row r="73">
      <c r="D73" s="8"/>
      <c r="S73" s="8"/>
    </row>
    <row r="74">
      <c r="D74" s="8"/>
      <c r="S74" s="8"/>
    </row>
    <row r="75">
      <c r="D75" s="8"/>
      <c r="S75" s="8"/>
    </row>
    <row r="76">
      <c r="D76" s="8"/>
      <c r="S76" s="8"/>
    </row>
    <row r="77">
      <c r="D77" s="8"/>
      <c r="S77" s="8"/>
    </row>
    <row r="78">
      <c r="D78" s="8"/>
      <c r="S78" s="8"/>
    </row>
    <row r="79">
      <c r="D79" s="8"/>
      <c r="S79" s="8"/>
    </row>
    <row r="80">
      <c r="D80" s="8"/>
      <c r="S80" s="8"/>
    </row>
    <row r="81">
      <c r="D81" s="8"/>
      <c r="S81" s="8"/>
    </row>
    <row r="82">
      <c r="D82" s="8"/>
      <c r="S82" s="8"/>
    </row>
    <row r="83">
      <c r="D83" s="8"/>
      <c r="S83" s="8"/>
    </row>
    <row r="84">
      <c r="D84" s="8"/>
      <c r="S84" s="8"/>
    </row>
    <row r="85">
      <c r="D85" s="8"/>
      <c r="S85" s="8"/>
    </row>
    <row r="86">
      <c r="D86" s="8"/>
      <c r="S86" s="8"/>
    </row>
    <row r="87">
      <c r="D87" s="8"/>
      <c r="S87" s="8"/>
    </row>
    <row r="88">
      <c r="D88" s="8"/>
      <c r="S88" s="8"/>
    </row>
    <row r="89">
      <c r="D89" s="8"/>
      <c r="S89" s="8"/>
    </row>
    <row r="90">
      <c r="D90" s="8"/>
      <c r="S90" s="8"/>
    </row>
    <row r="91">
      <c r="D91" s="8"/>
      <c r="S91" s="8"/>
    </row>
    <row r="92">
      <c r="D92" s="8"/>
      <c r="S92" s="8"/>
    </row>
    <row r="93">
      <c r="D93" s="8"/>
      <c r="S93" s="8"/>
    </row>
    <row r="94">
      <c r="D94" s="8"/>
      <c r="S94" s="8"/>
    </row>
    <row r="95">
      <c r="D95" s="8"/>
      <c r="S95" s="8"/>
    </row>
    <row r="96">
      <c r="D96" s="8"/>
      <c r="S96" s="8"/>
    </row>
    <row r="97">
      <c r="D97" s="8"/>
      <c r="S97" s="8"/>
    </row>
    <row r="98">
      <c r="D98" s="8"/>
      <c r="S98" s="8"/>
    </row>
    <row r="99">
      <c r="D99" s="8"/>
      <c r="S99" s="8"/>
    </row>
    <row r="100">
      <c r="D100" s="8"/>
      <c r="S100" s="8"/>
    </row>
  </sheetData>
  <autoFilter ref="$A$1:$U$6"/>
  <dataValidations>
    <dataValidation type="list" allowBlank="1" sqref="S2:S100">
      <formula1>"NOT MEASURED,MEASURED,INVALID"</formula1>
    </dataValidation>
    <dataValidation type="list" allowBlank="1" sqref="D2:D100">
      <formula1>"PLANNED,READY,READY-ON-HW,COMPLETED"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1.38"/>
    <col customWidth="1" min="3" max="3" width="10.5"/>
    <col customWidth="1" min="4" max="4" width="9.88"/>
    <col customWidth="1" min="5" max="5" width="10.5"/>
    <col customWidth="1" min="6" max="6" width="11.88"/>
    <col customWidth="1" min="7" max="7" width="10.5"/>
    <col customWidth="1" min="8" max="8" width="11.5"/>
    <col customWidth="1" min="9" max="9" width="11.25"/>
    <col customWidth="1" min="10" max="12" width="12.38"/>
    <col customWidth="1" min="13" max="13" width="10.38"/>
    <col customWidth="1" min="14" max="14" width="10.75"/>
    <col customWidth="1" min="15" max="15" width="7.38"/>
    <col customWidth="1" min="16" max="16" width="11.0"/>
    <col customWidth="1" min="17" max="17" width="11.38"/>
    <col customWidth="1" min="18" max="18" width="7.38"/>
    <col customWidth="1" min="19" max="19" width="11.88"/>
    <col customWidth="1" min="20" max="20" width="12.38"/>
    <col customWidth="1" min="21" max="21" width="10.5"/>
    <col customWidth="1" min="22" max="22" width="7.75"/>
  </cols>
  <sheetData>
    <row r="1">
      <c r="A1" s="1" t="s">
        <v>330</v>
      </c>
      <c r="B1" s="1" t="s">
        <v>333</v>
      </c>
      <c r="C1" s="1" t="s">
        <v>337</v>
      </c>
      <c r="D1" s="1" t="s">
        <v>340</v>
      </c>
      <c r="E1" s="1" t="s">
        <v>342</v>
      </c>
      <c r="F1" s="1" t="s">
        <v>345</v>
      </c>
      <c r="G1" s="1" t="s">
        <v>346</v>
      </c>
      <c r="H1" s="1" t="s">
        <v>347</v>
      </c>
      <c r="I1" s="1" t="s">
        <v>349</v>
      </c>
      <c r="J1" s="1" t="s">
        <v>352</v>
      </c>
      <c r="K1" s="1" t="s">
        <v>353</v>
      </c>
      <c r="L1" s="1" t="s">
        <v>355</v>
      </c>
      <c r="M1" s="1" t="s">
        <v>358</v>
      </c>
      <c r="N1" s="1" t="s">
        <v>361</v>
      </c>
      <c r="O1" s="1" t="s">
        <v>365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373</v>
      </c>
      <c r="U1" s="1" t="s">
        <v>374</v>
      </c>
      <c r="V1" s="1" t="s">
        <v>312</v>
      </c>
    </row>
    <row r="2">
      <c r="A2" s="4" t="s">
        <v>378</v>
      </c>
      <c r="B2" s="4" t="s">
        <v>380</v>
      </c>
      <c r="C2" s="4" t="s">
        <v>385</v>
      </c>
      <c r="D2" s="4" t="s">
        <v>387</v>
      </c>
      <c r="E2" s="4" t="s">
        <v>388</v>
      </c>
      <c r="F2" s="4" t="s">
        <v>390</v>
      </c>
      <c r="G2" s="4" t="s">
        <v>393</v>
      </c>
      <c r="H2" s="4" t="s">
        <v>401</v>
      </c>
      <c r="I2" s="6"/>
      <c r="J2" s="6"/>
      <c r="K2" s="6"/>
      <c r="L2" s="6"/>
      <c r="M2" s="6"/>
      <c r="N2" s="6"/>
      <c r="O2" s="11" t="str">
        <f t="shared" ref="O2:O11" si="1">IFERROR((L2+M2+N2)/K2,"")</f>
        <v/>
      </c>
      <c r="P2" s="6"/>
      <c r="Q2" s="6"/>
      <c r="R2" s="11" t="str">
        <f t="shared" ref="R2:R11" si="2">IFERROR(P2/Q2,"")</f>
        <v/>
      </c>
      <c r="S2" s="6"/>
      <c r="T2" s="6"/>
      <c r="U2" s="6"/>
      <c r="V2" s="6"/>
    </row>
    <row r="3">
      <c r="A3" s="4" t="s">
        <v>408</v>
      </c>
      <c r="B3" s="4" t="s">
        <v>380</v>
      </c>
      <c r="C3" s="4" t="s">
        <v>385</v>
      </c>
      <c r="D3" s="4" t="s">
        <v>387</v>
      </c>
      <c r="E3" s="4" t="s">
        <v>388</v>
      </c>
      <c r="F3" s="4" t="s">
        <v>390</v>
      </c>
      <c r="G3" s="4" t="s">
        <v>409</v>
      </c>
      <c r="H3" s="4" t="s">
        <v>401</v>
      </c>
      <c r="I3" s="6"/>
      <c r="J3" s="6"/>
      <c r="K3" s="6"/>
      <c r="L3" s="6"/>
      <c r="M3" s="6"/>
      <c r="N3" s="6"/>
      <c r="O3" s="11" t="str">
        <f t="shared" si="1"/>
        <v/>
      </c>
      <c r="P3" s="6"/>
      <c r="Q3" s="6"/>
      <c r="R3" s="11" t="str">
        <f t="shared" si="2"/>
        <v/>
      </c>
      <c r="S3" s="6"/>
      <c r="T3" s="6"/>
      <c r="U3" s="6"/>
      <c r="V3" s="6"/>
    </row>
    <row r="4">
      <c r="A4" s="4" t="s">
        <v>410</v>
      </c>
      <c r="B4" s="4" t="s">
        <v>380</v>
      </c>
      <c r="C4" s="4" t="s">
        <v>411</v>
      </c>
      <c r="D4" s="4" t="s">
        <v>412</v>
      </c>
      <c r="E4" s="4" t="s">
        <v>388</v>
      </c>
      <c r="F4" s="4" t="s">
        <v>413</v>
      </c>
      <c r="G4" s="4" t="s">
        <v>393</v>
      </c>
      <c r="H4" s="4" t="s">
        <v>401</v>
      </c>
      <c r="I4" s="6"/>
      <c r="J4" s="6"/>
      <c r="K4" s="6"/>
      <c r="L4" s="6"/>
      <c r="M4" s="6"/>
      <c r="N4" s="6"/>
      <c r="O4" s="11" t="str">
        <f t="shared" si="1"/>
        <v/>
      </c>
      <c r="P4" s="6"/>
      <c r="Q4" s="6"/>
      <c r="R4" s="11" t="str">
        <f t="shared" si="2"/>
        <v/>
      </c>
      <c r="S4" s="6"/>
      <c r="T4" s="6"/>
      <c r="U4" s="6"/>
      <c r="V4" s="6"/>
    </row>
    <row r="5">
      <c r="A5" s="4" t="s">
        <v>414</v>
      </c>
      <c r="B5" s="4" t="s">
        <v>380</v>
      </c>
      <c r="C5" s="4" t="s">
        <v>411</v>
      </c>
      <c r="D5" s="4" t="s">
        <v>412</v>
      </c>
      <c r="E5" s="4" t="s">
        <v>388</v>
      </c>
      <c r="F5" s="4" t="s">
        <v>413</v>
      </c>
      <c r="G5" s="4" t="s">
        <v>409</v>
      </c>
      <c r="H5" s="4" t="s">
        <v>401</v>
      </c>
      <c r="I5" s="6"/>
      <c r="J5" s="6"/>
      <c r="K5" s="6"/>
      <c r="L5" s="6"/>
      <c r="M5" s="6"/>
      <c r="N5" s="6"/>
      <c r="O5" s="11" t="str">
        <f t="shared" si="1"/>
        <v/>
      </c>
      <c r="P5" s="6"/>
      <c r="Q5" s="6"/>
      <c r="R5" s="11" t="str">
        <f t="shared" si="2"/>
        <v/>
      </c>
      <c r="S5" s="6"/>
      <c r="T5" s="6"/>
      <c r="U5" s="6"/>
      <c r="V5" s="6"/>
    </row>
    <row r="6">
      <c r="A6" s="4" t="s">
        <v>415</v>
      </c>
      <c r="B6" s="4" t="s">
        <v>380</v>
      </c>
      <c r="C6" s="4" t="s">
        <v>416</v>
      </c>
      <c r="D6" s="4" t="s">
        <v>387</v>
      </c>
      <c r="E6" s="4" t="s">
        <v>417</v>
      </c>
      <c r="F6" s="4" t="s">
        <v>413</v>
      </c>
      <c r="G6" s="4" t="s">
        <v>393</v>
      </c>
      <c r="H6" s="4" t="s">
        <v>401</v>
      </c>
      <c r="I6" s="6"/>
      <c r="J6" s="6"/>
      <c r="K6" s="6"/>
      <c r="L6" s="6"/>
      <c r="M6" s="6"/>
      <c r="N6" s="6"/>
      <c r="O6" s="11" t="str">
        <f t="shared" si="1"/>
        <v/>
      </c>
      <c r="P6" s="6"/>
      <c r="Q6" s="6"/>
      <c r="R6" s="11" t="str">
        <f t="shared" si="2"/>
        <v/>
      </c>
      <c r="S6" s="6"/>
      <c r="T6" s="6"/>
      <c r="U6" s="6"/>
      <c r="V6" s="6"/>
    </row>
    <row r="7">
      <c r="A7" s="4" t="s">
        <v>418</v>
      </c>
      <c r="B7" s="4" t="s">
        <v>380</v>
      </c>
      <c r="C7" s="4" t="s">
        <v>416</v>
      </c>
      <c r="D7" s="4" t="s">
        <v>387</v>
      </c>
      <c r="E7" s="4" t="s">
        <v>417</v>
      </c>
      <c r="F7" s="4" t="s">
        <v>413</v>
      </c>
      <c r="G7" s="4" t="s">
        <v>409</v>
      </c>
      <c r="H7" s="4" t="s">
        <v>401</v>
      </c>
      <c r="I7" s="6"/>
      <c r="J7" s="6"/>
      <c r="K7" s="6"/>
      <c r="L7" s="6"/>
      <c r="M7" s="6"/>
      <c r="N7" s="6"/>
      <c r="O7" s="11" t="str">
        <f t="shared" si="1"/>
        <v/>
      </c>
      <c r="P7" s="6"/>
      <c r="Q7" s="6"/>
      <c r="R7" s="11" t="str">
        <f t="shared" si="2"/>
        <v/>
      </c>
      <c r="S7" s="6"/>
      <c r="T7" s="6"/>
      <c r="U7" s="6"/>
      <c r="V7" s="6"/>
    </row>
    <row r="8">
      <c r="A8" s="4" t="s">
        <v>419</v>
      </c>
      <c r="B8" s="4" t="s">
        <v>380</v>
      </c>
      <c r="C8" s="4" t="s">
        <v>420</v>
      </c>
      <c r="D8" s="4" t="s">
        <v>412</v>
      </c>
      <c r="E8" s="4" t="s">
        <v>388</v>
      </c>
      <c r="F8" s="4" t="s">
        <v>421</v>
      </c>
      <c r="G8" s="4" t="s">
        <v>393</v>
      </c>
      <c r="H8" s="4" t="s">
        <v>401</v>
      </c>
      <c r="I8" s="6"/>
      <c r="J8" s="6"/>
      <c r="K8" s="6"/>
      <c r="L8" s="6"/>
      <c r="M8" s="6"/>
      <c r="N8" s="6"/>
      <c r="O8" s="11" t="str">
        <f t="shared" si="1"/>
        <v/>
      </c>
      <c r="P8" s="6"/>
      <c r="Q8" s="6"/>
      <c r="R8" s="11" t="str">
        <f t="shared" si="2"/>
        <v/>
      </c>
      <c r="S8" s="6"/>
      <c r="T8" s="6"/>
      <c r="U8" s="6"/>
      <c r="V8" s="6"/>
    </row>
    <row r="9">
      <c r="A9" s="4" t="s">
        <v>422</v>
      </c>
      <c r="B9" s="4" t="s">
        <v>380</v>
      </c>
      <c r="C9" s="4" t="s">
        <v>420</v>
      </c>
      <c r="D9" s="4" t="s">
        <v>412</v>
      </c>
      <c r="E9" s="4" t="s">
        <v>388</v>
      </c>
      <c r="F9" s="4" t="s">
        <v>421</v>
      </c>
      <c r="G9" s="4" t="s">
        <v>409</v>
      </c>
      <c r="H9" s="4" t="s">
        <v>401</v>
      </c>
      <c r="I9" s="6"/>
      <c r="J9" s="6"/>
      <c r="K9" s="6"/>
      <c r="L9" s="6"/>
      <c r="M9" s="6"/>
      <c r="N9" s="6"/>
      <c r="O9" s="11" t="str">
        <f t="shared" si="1"/>
        <v/>
      </c>
      <c r="P9" s="6"/>
      <c r="Q9" s="6"/>
      <c r="R9" s="11" t="str">
        <f t="shared" si="2"/>
        <v/>
      </c>
      <c r="S9" s="6"/>
      <c r="T9" s="6"/>
      <c r="U9" s="6"/>
      <c r="V9" s="6"/>
    </row>
    <row r="10">
      <c r="A10" s="4" t="s">
        <v>423</v>
      </c>
      <c r="B10" s="4" t="s">
        <v>380</v>
      </c>
      <c r="C10" s="4" t="s">
        <v>424</v>
      </c>
      <c r="D10" s="4" t="s">
        <v>412</v>
      </c>
      <c r="E10" s="4" t="s">
        <v>417</v>
      </c>
      <c r="F10" s="4" t="s">
        <v>421</v>
      </c>
      <c r="G10" s="4" t="s">
        <v>393</v>
      </c>
      <c r="H10" s="4" t="s">
        <v>401</v>
      </c>
      <c r="I10" s="6"/>
      <c r="J10" s="6"/>
      <c r="K10" s="6"/>
      <c r="L10" s="6"/>
      <c r="M10" s="6"/>
      <c r="N10" s="6"/>
      <c r="O10" s="11" t="str">
        <f t="shared" si="1"/>
        <v/>
      </c>
      <c r="P10" s="6"/>
      <c r="Q10" s="6"/>
      <c r="R10" s="11" t="str">
        <f t="shared" si="2"/>
        <v/>
      </c>
      <c r="S10" s="6"/>
      <c r="T10" s="6"/>
      <c r="U10" s="6"/>
      <c r="V10" s="6"/>
    </row>
    <row r="11">
      <c r="A11" s="4" t="s">
        <v>425</v>
      </c>
      <c r="B11" s="4" t="s">
        <v>380</v>
      </c>
      <c r="C11" s="4" t="s">
        <v>424</v>
      </c>
      <c r="D11" s="4" t="s">
        <v>412</v>
      </c>
      <c r="E11" s="4" t="s">
        <v>417</v>
      </c>
      <c r="F11" s="4" t="s">
        <v>421</v>
      </c>
      <c r="G11" s="4" t="s">
        <v>409</v>
      </c>
      <c r="H11" s="4" t="s">
        <v>401</v>
      </c>
      <c r="I11" s="6"/>
      <c r="J11" s="6"/>
      <c r="K11" s="6"/>
      <c r="L11" s="6"/>
      <c r="M11" s="6"/>
      <c r="N11" s="6"/>
      <c r="O11" s="11" t="str">
        <f t="shared" si="1"/>
        <v/>
      </c>
      <c r="P11" s="6"/>
      <c r="Q11" s="6"/>
      <c r="R11" s="11" t="str">
        <f t="shared" si="2"/>
        <v/>
      </c>
      <c r="S11" s="6"/>
      <c r="T11" s="6"/>
      <c r="U11" s="6"/>
      <c r="V11" s="6"/>
    </row>
    <row r="12">
      <c r="C12" s="8"/>
      <c r="G12" s="8"/>
      <c r="H12" s="8"/>
      <c r="O12" s="12"/>
      <c r="R12" s="12"/>
    </row>
    <row r="13">
      <c r="C13" s="8"/>
      <c r="G13" s="8"/>
      <c r="H13" s="8"/>
      <c r="O13" s="12"/>
      <c r="R13" s="12"/>
    </row>
    <row r="14">
      <c r="C14" s="8"/>
      <c r="G14" s="8"/>
      <c r="H14" s="8"/>
      <c r="O14" s="12"/>
      <c r="R14" s="12"/>
    </row>
    <row r="15">
      <c r="C15" s="8"/>
      <c r="G15" s="8"/>
      <c r="H15" s="8"/>
      <c r="O15" s="12"/>
      <c r="R15" s="12"/>
    </row>
    <row r="16">
      <c r="C16" s="8"/>
      <c r="G16" s="8"/>
      <c r="H16" s="8"/>
      <c r="O16" s="12"/>
      <c r="R16" s="12"/>
    </row>
    <row r="17">
      <c r="C17" s="8"/>
      <c r="G17" s="8"/>
      <c r="H17" s="8"/>
      <c r="O17" s="12"/>
      <c r="R17" s="12"/>
    </row>
    <row r="18">
      <c r="C18" s="8"/>
      <c r="G18" s="8"/>
      <c r="H18" s="8"/>
      <c r="O18" s="12"/>
      <c r="R18" s="12"/>
    </row>
    <row r="19">
      <c r="C19" s="8"/>
      <c r="G19" s="8"/>
      <c r="H19" s="8"/>
      <c r="O19" s="12"/>
      <c r="R19" s="12"/>
    </row>
    <row r="20">
      <c r="C20" s="8"/>
      <c r="G20" s="8"/>
      <c r="H20" s="8"/>
      <c r="O20" s="12"/>
      <c r="R20" s="12"/>
    </row>
    <row r="21">
      <c r="C21" s="8"/>
      <c r="G21" s="8"/>
      <c r="H21" s="8"/>
      <c r="O21" s="12"/>
      <c r="R21" s="12"/>
    </row>
    <row r="22">
      <c r="C22" s="8"/>
      <c r="G22" s="8"/>
      <c r="H22" s="8"/>
      <c r="O22" s="12"/>
      <c r="R22" s="12"/>
    </row>
    <row r="23">
      <c r="C23" s="8"/>
      <c r="G23" s="8"/>
      <c r="H23" s="8"/>
      <c r="O23" s="12"/>
      <c r="R23" s="12"/>
    </row>
    <row r="24">
      <c r="C24" s="8"/>
      <c r="G24" s="8"/>
      <c r="H24" s="8"/>
      <c r="O24" s="12"/>
      <c r="R24" s="12"/>
    </row>
    <row r="25">
      <c r="C25" s="8"/>
      <c r="G25" s="8"/>
      <c r="H25" s="8"/>
      <c r="O25" s="12"/>
      <c r="R25" s="12"/>
    </row>
    <row r="26">
      <c r="C26" s="8"/>
      <c r="G26" s="8"/>
      <c r="H26" s="8"/>
      <c r="O26" s="12"/>
      <c r="R26" s="12"/>
    </row>
    <row r="27">
      <c r="C27" s="8"/>
      <c r="G27" s="8"/>
      <c r="H27" s="8"/>
      <c r="O27" s="12"/>
      <c r="R27" s="12"/>
    </row>
    <row r="28">
      <c r="C28" s="8"/>
      <c r="G28" s="8"/>
      <c r="H28" s="8"/>
      <c r="O28" s="12"/>
      <c r="R28" s="12"/>
    </row>
    <row r="29">
      <c r="C29" s="8"/>
      <c r="G29" s="8"/>
      <c r="H29" s="8"/>
      <c r="O29" s="12"/>
      <c r="R29" s="12"/>
    </row>
    <row r="30">
      <c r="C30" s="8"/>
      <c r="G30" s="8"/>
      <c r="H30" s="8"/>
      <c r="O30" s="12"/>
      <c r="R30" s="12"/>
    </row>
    <row r="31">
      <c r="C31" s="8"/>
      <c r="G31" s="8"/>
      <c r="H31" s="8"/>
      <c r="O31" s="12"/>
      <c r="R31" s="12"/>
    </row>
    <row r="32">
      <c r="C32" s="8"/>
      <c r="G32" s="8"/>
      <c r="H32" s="8"/>
      <c r="O32" s="12"/>
      <c r="R32" s="12"/>
    </row>
    <row r="33">
      <c r="C33" s="8"/>
      <c r="G33" s="8"/>
      <c r="H33" s="8"/>
      <c r="O33" s="12"/>
      <c r="R33" s="12"/>
    </row>
    <row r="34">
      <c r="C34" s="8"/>
      <c r="G34" s="8"/>
      <c r="H34" s="8"/>
      <c r="O34" s="12"/>
      <c r="R34" s="12"/>
    </row>
    <row r="35">
      <c r="C35" s="8"/>
      <c r="G35" s="8"/>
      <c r="H35" s="8"/>
      <c r="O35" s="12"/>
      <c r="R35" s="12"/>
    </row>
    <row r="36">
      <c r="C36" s="8"/>
      <c r="G36" s="8"/>
      <c r="H36" s="8"/>
      <c r="O36" s="12"/>
      <c r="R36" s="12"/>
    </row>
    <row r="37">
      <c r="C37" s="8"/>
      <c r="G37" s="8"/>
      <c r="H37" s="8"/>
      <c r="O37" s="12"/>
      <c r="R37" s="12"/>
    </row>
    <row r="38">
      <c r="C38" s="8"/>
      <c r="G38" s="8"/>
      <c r="H38" s="8"/>
      <c r="O38" s="12"/>
      <c r="R38" s="12"/>
    </row>
    <row r="39">
      <c r="C39" s="8"/>
      <c r="G39" s="8"/>
      <c r="H39" s="8"/>
      <c r="O39" s="12"/>
      <c r="R39" s="12"/>
    </row>
    <row r="40">
      <c r="C40" s="8"/>
      <c r="G40" s="8"/>
      <c r="H40" s="8"/>
      <c r="O40" s="12"/>
      <c r="R40" s="12"/>
    </row>
    <row r="41">
      <c r="C41" s="8"/>
      <c r="G41" s="8"/>
      <c r="H41" s="8"/>
      <c r="O41" s="12"/>
      <c r="R41" s="12"/>
    </row>
    <row r="42">
      <c r="C42" s="8"/>
      <c r="G42" s="8"/>
      <c r="H42" s="8"/>
      <c r="O42" s="12"/>
      <c r="R42" s="12"/>
    </row>
    <row r="43">
      <c r="C43" s="8"/>
      <c r="G43" s="8"/>
      <c r="H43" s="8"/>
      <c r="O43" s="12"/>
      <c r="R43" s="12"/>
    </row>
    <row r="44">
      <c r="C44" s="8"/>
      <c r="G44" s="8"/>
      <c r="H44" s="8"/>
      <c r="O44" s="12"/>
      <c r="R44" s="12"/>
    </row>
    <row r="45">
      <c r="C45" s="8"/>
      <c r="G45" s="8"/>
      <c r="H45" s="8"/>
      <c r="O45" s="12"/>
      <c r="R45" s="12"/>
    </row>
    <row r="46">
      <c r="C46" s="8"/>
      <c r="G46" s="8"/>
      <c r="H46" s="8"/>
      <c r="O46" s="12"/>
      <c r="R46" s="12"/>
    </row>
    <row r="47">
      <c r="C47" s="8"/>
      <c r="G47" s="8"/>
      <c r="H47" s="8"/>
      <c r="O47" s="12"/>
      <c r="R47" s="12"/>
    </row>
    <row r="48">
      <c r="C48" s="8"/>
      <c r="G48" s="8"/>
      <c r="H48" s="8"/>
      <c r="O48" s="12"/>
      <c r="R48" s="12"/>
    </row>
    <row r="49">
      <c r="C49" s="8"/>
      <c r="G49" s="8"/>
      <c r="H49" s="8"/>
      <c r="O49" s="12"/>
      <c r="R49" s="12"/>
    </row>
    <row r="50">
      <c r="C50" s="8"/>
      <c r="G50" s="8"/>
      <c r="H50" s="8"/>
      <c r="O50" s="12"/>
      <c r="R50" s="12"/>
    </row>
    <row r="51">
      <c r="C51" s="8"/>
      <c r="G51" s="8"/>
      <c r="H51" s="8"/>
      <c r="O51" s="12"/>
      <c r="R51" s="12"/>
    </row>
    <row r="52">
      <c r="C52" s="8"/>
      <c r="G52" s="8"/>
      <c r="H52" s="8"/>
      <c r="O52" s="12"/>
      <c r="R52" s="12"/>
    </row>
    <row r="53">
      <c r="C53" s="8"/>
      <c r="G53" s="8"/>
      <c r="H53" s="8"/>
      <c r="O53" s="12"/>
      <c r="R53" s="12"/>
    </row>
    <row r="54">
      <c r="C54" s="8"/>
      <c r="G54" s="8"/>
      <c r="H54" s="8"/>
      <c r="O54" s="12"/>
      <c r="R54" s="12"/>
    </row>
    <row r="55">
      <c r="C55" s="8"/>
      <c r="G55" s="8"/>
      <c r="H55" s="8"/>
      <c r="O55" s="12"/>
      <c r="R55" s="12"/>
    </row>
    <row r="56">
      <c r="C56" s="8"/>
      <c r="G56" s="8"/>
      <c r="H56" s="8"/>
      <c r="O56" s="12"/>
      <c r="R56" s="12"/>
    </row>
    <row r="57">
      <c r="C57" s="8"/>
      <c r="G57" s="8"/>
      <c r="H57" s="8"/>
      <c r="O57" s="12"/>
      <c r="R57" s="12"/>
    </row>
    <row r="58">
      <c r="C58" s="8"/>
      <c r="G58" s="8"/>
      <c r="H58" s="8"/>
      <c r="O58" s="12"/>
      <c r="R58" s="12"/>
    </row>
    <row r="59">
      <c r="C59" s="8"/>
      <c r="G59" s="8"/>
      <c r="H59" s="8"/>
      <c r="O59" s="12"/>
      <c r="R59" s="12"/>
    </row>
    <row r="60">
      <c r="C60" s="8"/>
      <c r="G60" s="8"/>
      <c r="H60" s="8"/>
      <c r="O60" s="12"/>
      <c r="R60" s="12"/>
    </row>
    <row r="61">
      <c r="C61" s="8"/>
      <c r="G61" s="8"/>
      <c r="H61" s="8"/>
      <c r="O61" s="12"/>
      <c r="R61" s="12"/>
    </row>
    <row r="62">
      <c r="C62" s="8"/>
      <c r="G62" s="8"/>
      <c r="H62" s="8"/>
      <c r="O62" s="12"/>
      <c r="R62" s="12"/>
    </row>
    <row r="63">
      <c r="C63" s="8"/>
      <c r="G63" s="8"/>
      <c r="H63" s="8"/>
      <c r="O63" s="12"/>
      <c r="R63" s="12"/>
    </row>
    <row r="64">
      <c r="C64" s="8"/>
      <c r="G64" s="8"/>
      <c r="H64" s="8"/>
      <c r="O64" s="12"/>
      <c r="R64" s="12"/>
    </row>
    <row r="65">
      <c r="C65" s="8"/>
      <c r="G65" s="8"/>
      <c r="H65" s="8"/>
      <c r="O65" s="12"/>
      <c r="R65" s="12"/>
    </row>
    <row r="66">
      <c r="C66" s="8"/>
      <c r="G66" s="8"/>
      <c r="H66" s="8"/>
      <c r="O66" s="12"/>
      <c r="R66" s="12"/>
    </row>
    <row r="67">
      <c r="C67" s="8"/>
      <c r="G67" s="8"/>
      <c r="H67" s="8"/>
      <c r="O67" s="12"/>
      <c r="R67" s="12"/>
    </row>
    <row r="68">
      <c r="C68" s="8"/>
      <c r="G68" s="8"/>
      <c r="H68" s="8"/>
      <c r="O68" s="12"/>
      <c r="R68" s="12"/>
    </row>
    <row r="69">
      <c r="C69" s="8"/>
      <c r="G69" s="8"/>
      <c r="H69" s="8"/>
      <c r="O69" s="12"/>
      <c r="R69" s="12"/>
    </row>
    <row r="70">
      <c r="C70" s="8"/>
      <c r="G70" s="8"/>
      <c r="H70" s="8"/>
      <c r="O70" s="12"/>
      <c r="R70" s="12"/>
    </row>
    <row r="71">
      <c r="C71" s="8"/>
      <c r="G71" s="8"/>
      <c r="H71" s="8"/>
      <c r="O71" s="12"/>
      <c r="R71" s="12"/>
    </row>
    <row r="72">
      <c r="C72" s="8"/>
      <c r="G72" s="8"/>
      <c r="H72" s="8"/>
      <c r="O72" s="12"/>
      <c r="R72" s="12"/>
    </row>
    <row r="73">
      <c r="C73" s="8"/>
      <c r="G73" s="8"/>
      <c r="H73" s="8"/>
      <c r="O73" s="12"/>
      <c r="R73" s="12"/>
    </row>
    <row r="74">
      <c r="C74" s="8"/>
      <c r="G74" s="8"/>
      <c r="H74" s="8"/>
      <c r="O74" s="12"/>
      <c r="R74" s="12"/>
    </row>
    <row r="75">
      <c r="C75" s="8"/>
      <c r="G75" s="8"/>
      <c r="H75" s="8"/>
      <c r="O75" s="12"/>
      <c r="R75" s="12"/>
    </row>
    <row r="76">
      <c r="C76" s="8"/>
      <c r="G76" s="8"/>
      <c r="H76" s="8"/>
      <c r="O76" s="12"/>
      <c r="R76" s="12"/>
    </row>
    <row r="77">
      <c r="C77" s="8"/>
      <c r="G77" s="8"/>
      <c r="H77" s="8"/>
      <c r="O77" s="12"/>
      <c r="R77" s="12"/>
    </row>
    <row r="78">
      <c r="C78" s="8"/>
      <c r="G78" s="8"/>
      <c r="H78" s="8"/>
      <c r="O78" s="12"/>
      <c r="R78" s="12"/>
    </row>
    <row r="79">
      <c r="C79" s="8"/>
      <c r="G79" s="8"/>
      <c r="H79" s="8"/>
      <c r="O79" s="12"/>
      <c r="R79" s="12"/>
    </row>
    <row r="80">
      <c r="C80" s="8"/>
      <c r="G80" s="8"/>
      <c r="H80" s="8"/>
      <c r="O80" s="12"/>
      <c r="R80" s="12"/>
    </row>
    <row r="81">
      <c r="C81" s="8"/>
      <c r="G81" s="8"/>
      <c r="H81" s="8"/>
      <c r="O81" s="12"/>
      <c r="R81" s="12"/>
    </row>
    <row r="82">
      <c r="C82" s="8"/>
      <c r="G82" s="8"/>
      <c r="H82" s="8"/>
      <c r="O82" s="12"/>
      <c r="R82" s="12"/>
    </row>
    <row r="83">
      <c r="C83" s="8"/>
      <c r="G83" s="8"/>
      <c r="H83" s="8"/>
      <c r="O83" s="12"/>
      <c r="R83" s="12"/>
    </row>
    <row r="84">
      <c r="C84" s="8"/>
      <c r="G84" s="8"/>
      <c r="H84" s="8"/>
      <c r="O84" s="12"/>
      <c r="R84" s="12"/>
    </row>
    <row r="85">
      <c r="C85" s="8"/>
      <c r="G85" s="8"/>
      <c r="H85" s="8"/>
      <c r="O85" s="12"/>
      <c r="R85" s="12"/>
    </row>
    <row r="86">
      <c r="C86" s="8"/>
      <c r="G86" s="8"/>
      <c r="H86" s="8"/>
      <c r="O86" s="12"/>
      <c r="R86" s="12"/>
    </row>
    <row r="87">
      <c r="C87" s="8"/>
      <c r="G87" s="8"/>
      <c r="H87" s="8"/>
      <c r="O87" s="12"/>
      <c r="R87" s="12"/>
    </row>
    <row r="88">
      <c r="C88" s="8"/>
      <c r="G88" s="8"/>
      <c r="H88" s="8"/>
      <c r="O88" s="12"/>
      <c r="R88" s="12"/>
    </row>
    <row r="89">
      <c r="C89" s="8"/>
      <c r="G89" s="8"/>
      <c r="H89" s="8"/>
      <c r="O89" s="12"/>
      <c r="R89" s="12"/>
    </row>
    <row r="90">
      <c r="C90" s="8"/>
      <c r="G90" s="8"/>
      <c r="H90" s="8"/>
      <c r="O90" s="12"/>
      <c r="R90" s="12"/>
    </row>
    <row r="91">
      <c r="C91" s="8"/>
      <c r="G91" s="8"/>
      <c r="H91" s="8"/>
      <c r="O91" s="12"/>
      <c r="R91" s="12"/>
    </row>
    <row r="92">
      <c r="C92" s="8"/>
      <c r="G92" s="8"/>
      <c r="H92" s="8"/>
      <c r="O92" s="12"/>
      <c r="R92" s="12"/>
    </row>
    <row r="93">
      <c r="C93" s="8"/>
      <c r="G93" s="8"/>
      <c r="H93" s="8"/>
      <c r="O93" s="12"/>
      <c r="R93" s="12"/>
    </row>
    <row r="94">
      <c r="C94" s="8"/>
      <c r="G94" s="8"/>
      <c r="H94" s="8"/>
      <c r="O94" s="12"/>
      <c r="R94" s="12"/>
    </row>
    <row r="95">
      <c r="C95" s="8"/>
      <c r="G95" s="8"/>
      <c r="H95" s="8"/>
      <c r="O95" s="12"/>
      <c r="R95" s="12"/>
    </row>
    <row r="96">
      <c r="C96" s="8"/>
      <c r="G96" s="8"/>
      <c r="H96" s="8"/>
      <c r="O96" s="12"/>
      <c r="R96" s="12"/>
    </row>
    <row r="97">
      <c r="C97" s="8"/>
      <c r="G97" s="8"/>
      <c r="H97" s="8"/>
      <c r="O97" s="12"/>
      <c r="R97" s="12"/>
    </row>
    <row r="98">
      <c r="C98" s="8"/>
      <c r="G98" s="8"/>
      <c r="H98" s="8"/>
      <c r="O98" s="12"/>
      <c r="R98" s="12"/>
    </row>
    <row r="99">
      <c r="C99" s="8"/>
      <c r="G99" s="8"/>
      <c r="H99" s="8"/>
      <c r="O99" s="12"/>
      <c r="R99" s="12"/>
    </row>
    <row r="100">
      <c r="C100" s="8"/>
      <c r="G100" s="8"/>
      <c r="H100" s="8"/>
      <c r="O100" s="12"/>
      <c r="R100" s="12"/>
    </row>
    <row r="101">
      <c r="C101" s="8"/>
      <c r="G101" s="8"/>
      <c r="H101" s="8"/>
      <c r="O101" s="12"/>
      <c r="R101" s="12"/>
    </row>
    <row r="102">
      <c r="C102" s="8"/>
      <c r="G102" s="8"/>
      <c r="H102" s="8"/>
      <c r="O102" s="12"/>
      <c r="R102" s="12"/>
    </row>
    <row r="103">
      <c r="C103" s="8"/>
      <c r="G103" s="8"/>
      <c r="H103" s="8"/>
      <c r="O103" s="12"/>
      <c r="R103" s="12"/>
    </row>
    <row r="104">
      <c r="C104" s="8"/>
      <c r="G104" s="8"/>
      <c r="H104" s="8"/>
      <c r="O104" s="12"/>
      <c r="R104" s="12"/>
    </row>
    <row r="105">
      <c r="C105" s="8"/>
      <c r="G105" s="8"/>
      <c r="H105" s="8"/>
      <c r="O105" s="12"/>
      <c r="R105" s="12"/>
    </row>
    <row r="106">
      <c r="C106" s="8"/>
      <c r="G106" s="8"/>
      <c r="H106" s="8"/>
      <c r="O106" s="12"/>
      <c r="R106" s="12"/>
    </row>
    <row r="107">
      <c r="C107" s="8"/>
      <c r="G107" s="8"/>
      <c r="H107" s="8"/>
      <c r="O107" s="12"/>
      <c r="R107" s="12"/>
    </row>
    <row r="108">
      <c r="C108" s="8"/>
      <c r="G108" s="8"/>
      <c r="H108" s="8"/>
      <c r="O108" s="12"/>
      <c r="R108" s="12"/>
    </row>
    <row r="109">
      <c r="C109" s="8"/>
      <c r="G109" s="8"/>
      <c r="H109" s="8"/>
      <c r="O109" s="12"/>
      <c r="R109" s="12"/>
    </row>
    <row r="110">
      <c r="C110" s="8"/>
      <c r="G110" s="8"/>
      <c r="H110" s="8"/>
      <c r="O110" s="12"/>
      <c r="R110" s="12"/>
    </row>
    <row r="111">
      <c r="C111" s="8"/>
      <c r="G111" s="8"/>
      <c r="H111" s="8"/>
      <c r="O111" s="12"/>
      <c r="R111" s="12"/>
    </row>
    <row r="112">
      <c r="C112" s="8"/>
      <c r="G112" s="8"/>
      <c r="H112" s="8"/>
      <c r="O112" s="12"/>
      <c r="R112" s="12"/>
    </row>
    <row r="113">
      <c r="C113" s="8"/>
      <c r="G113" s="8"/>
      <c r="H113" s="8"/>
      <c r="O113" s="12"/>
      <c r="R113" s="12"/>
    </row>
    <row r="114">
      <c r="C114" s="8"/>
      <c r="G114" s="8"/>
      <c r="H114" s="8"/>
      <c r="O114" s="12"/>
      <c r="R114" s="12"/>
    </row>
    <row r="115">
      <c r="C115" s="8"/>
      <c r="G115" s="8"/>
      <c r="H115" s="8"/>
      <c r="O115" s="12"/>
      <c r="R115" s="12"/>
    </row>
    <row r="116">
      <c r="C116" s="8"/>
      <c r="G116" s="8"/>
      <c r="H116" s="8"/>
      <c r="O116" s="12"/>
      <c r="R116" s="12"/>
    </row>
    <row r="117">
      <c r="C117" s="8"/>
      <c r="G117" s="8"/>
      <c r="H117" s="8"/>
      <c r="O117" s="12"/>
      <c r="R117" s="12"/>
    </row>
    <row r="118">
      <c r="C118" s="8"/>
      <c r="G118" s="8"/>
      <c r="H118" s="8"/>
      <c r="O118" s="12"/>
      <c r="R118" s="12"/>
    </row>
    <row r="119">
      <c r="C119" s="8"/>
      <c r="G119" s="8"/>
      <c r="H119" s="8"/>
      <c r="O119" s="12"/>
      <c r="R119" s="12"/>
    </row>
    <row r="120">
      <c r="C120" s="8"/>
      <c r="G120" s="8"/>
      <c r="H120" s="8"/>
      <c r="O120" s="12"/>
      <c r="R120" s="12"/>
    </row>
    <row r="121">
      <c r="C121" s="8"/>
      <c r="G121" s="8"/>
      <c r="H121" s="8"/>
      <c r="O121" s="12"/>
      <c r="R121" s="12"/>
    </row>
    <row r="122">
      <c r="C122" s="8"/>
      <c r="G122" s="8"/>
      <c r="H122" s="8"/>
      <c r="O122" s="12"/>
      <c r="R122" s="12"/>
    </row>
    <row r="123">
      <c r="C123" s="8"/>
      <c r="G123" s="8"/>
      <c r="H123" s="8"/>
      <c r="O123" s="12"/>
      <c r="R123" s="12"/>
    </row>
    <row r="124">
      <c r="C124" s="8"/>
      <c r="G124" s="8"/>
      <c r="H124" s="8"/>
      <c r="O124" s="12"/>
      <c r="R124" s="12"/>
    </row>
    <row r="125">
      <c r="C125" s="8"/>
      <c r="G125" s="8"/>
      <c r="H125" s="8"/>
      <c r="O125" s="12"/>
      <c r="R125" s="12"/>
    </row>
    <row r="126">
      <c r="C126" s="8"/>
      <c r="G126" s="8"/>
      <c r="H126" s="8"/>
      <c r="O126" s="12"/>
      <c r="R126" s="12"/>
    </row>
    <row r="127">
      <c r="C127" s="8"/>
      <c r="G127" s="8"/>
      <c r="H127" s="8"/>
      <c r="O127" s="12"/>
      <c r="R127" s="12"/>
    </row>
    <row r="128">
      <c r="C128" s="8"/>
      <c r="G128" s="8"/>
      <c r="H128" s="8"/>
      <c r="O128" s="12"/>
      <c r="R128" s="12"/>
    </row>
    <row r="129">
      <c r="C129" s="8"/>
      <c r="G129" s="8"/>
      <c r="H129" s="8"/>
      <c r="O129" s="12"/>
      <c r="R129" s="12"/>
    </row>
    <row r="130">
      <c r="C130" s="8"/>
      <c r="G130" s="8"/>
      <c r="H130" s="8"/>
      <c r="O130" s="12"/>
      <c r="R130" s="12"/>
    </row>
    <row r="131">
      <c r="C131" s="8"/>
      <c r="G131" s="8"/>
      <c r="H131" s="8"/>
      <c r="O131" s="12"/>
      <c r="R131" s="12"/>
    </row>
    <row r="132">
      <c r="C132" s="8"/>
      <c r="G132" s="8"/>
      <c r="H132" s="8"/>
      <c r="O132" s="12"/>
      <c r="R132" s="12"/>
    </row>
    <row r="133">
      <c r="C133" s="8"/>
      <c r="G133" s="8"/>
      <c r="H133" s="8"/>
      <c r="O133" s="12"/>
      <c r="R133" s="12"/>
    </row>
    <row r="134">
      <c r="C134" s="8"/>
      <c r="G134" s="8"/>
      <c r="H134" s="8"/>
      <c r="O134" s="12"/>
      <c r="R134" s="12"/>
    </row>
    <row r="135">
      <c r="C135" s="8"/>
      <c r="G135" s="8"/>
      <c r="H135" s="8"/>
      <c r="O135" s="12"/>
      <c r="R135" s="12"/>
    </row>
    <row r="136">
      <c r="C136" s="8"/>
      <c r="G136" s="8"/>
      <c r="H136" s="8"/>
      <c r="O136" s="12"/>
      <c r="R136" s="12"/>
    </row>
    <row r="137">
      <c r="C137" s="8"/>
      <c r="G137" s="8"/>
      <c r="H137" s="8"/>
      <c r="O137" s="12"/>
      <c r="R137" s="12"/>
    </row>
    <row r="138">
      <c r="C138" s="8"/>
      <c r="G138" s="8"/>
      <c r="H138" s="8"/>
      <c r="O138" s="12"/>
      <c r="R138" s="12"/>
    </row>
    <row r="139">
      <c r="C139" s="8"/>
      <c r="G139" s="8"/>
      <c r="H139" s="8"/>
      <c r="O139" s="12"/>
      <c r="R139" s="12"/>
    </row>
    <row r="140">
      <c r="C140" s="8"/>
      <c r="G140" s="8"/>
      <c r="H140" s="8"/>
      <c r="O140" s="12"/>
      <c r="R140" s="12"/>
    </row>
    <row r="141">
      <c r="C141" s="8"/>
      <c r="G141" s="8"/>
      <c r="H141" s="8"/>
      <c r="O141" s="12"/>
      <c r="R141" s="12"/>
    </row>
    <row r="142">
      <c r="C142" s="8"/>
      <c r="G142" s="8"/>
      <c r="H142" s="8"/>
      <c r="O142" s="12"/>
      <c r="R142" s="12"/>
    </row>
    <row r="143">
      <c r="C143" s="8"/>
      <c r="G143" s="8"/>
      <c r="H143" s="8"/>
      <c r="O143" s="12"/>
      <c r="R143" s="12"/>
    </row>
    <row r="144">
      <c r="C144" s="8"/>
      <c r="G144" s="8"/>
      <c r="H144" s="8"/>
      <c r="O144" s="12"/>
      <c r="R144" s="12"/>
    </row>
    <row r="145">
      <c r="C145" s="8"/>
      <c r="G145" s="8"/>
      <c r="H145" s="8"/>
      <c r="O145" s="12"/>
      <c r="R145" s="12"/>
    </row>
    <row r="146">
      <c r="C146" s="8"/>
      <c r="G146" s="8"/>
      <c r="H146" s="8"/>
      <c r="O146" s="12"/>
      <c r="R146" s="12"/>
    </row>
    <row r="147">
      <c r="C147" s="8"/>
      <c r="G147" s="8"/>
      <c r="H147" s="8"/>
      <c r="O147" s="12"/>
      <c r="R147" s="12"/>
    </row>
    <row r="148">
      <c r="C148" s="8"/>
      <c r="G148" s="8"/>
      <c r="H148" s="8"/>
      <c r="O148" s="12"/>
      <c r="R148" s="12"/>
    </row>
    <row r="149">
      <c r="C149" s="8"/>
      <c r="G149" s="8"/>
      <c r="H149" s="8"/>
      <c r="O149" s="12"/>
      <c r="R149" s="12"/>
    </row>
    <row r="150">
      <c r="C150" s="8"/>
      <c r="G150" s="8"/>
      <c r="H150" s="8"/>
      <c r="O150" s="12"/>
      <c r="R150" s="12"/>
    </row>
    <row r="151">
      <c r="C151" s="8"/>
      <c r="G151" s="8"/>
      <c r="H151" s="8"/>
      <c r="O151" s="12"/>
      <c r="R151" s="12"/>
    </row>
    <row r="152">
      <c r="C152" s="8"/>
      <c r="G152" s="8"/>
      <c r="H152" s="8"/>
      <c r="O152" s="12"/>
      <c r="R152" s="12"/>
    </row>
    <row r="153">
      <c r="C153" s="8"/>
      <c r="G153" s="8"/>
      <c r="H153" s="8"/>
      <c r="O153" s="12"/>
      <c r="R153" s="12"/>
    </row>
    <row r="154">
      <c r="C154" s="8"/>
      <c r="G154" s="8"/>
      <c r="H154" s="8"/>
      <c r="O154" s="12"/>
      <c r="R154" s="12"/>
    </row>
    <row r="155">
      <c r="C155" s="8"/>
      <c r="G155" s="8"/>
      <c r="H155" s="8"/>
      <c r="O155" s="12"/>
      <c r="R155" s="12"/>
    </row>
    <row r="156">
      <c r="C156" s="8"/>
      <c r="G156" s="8"/>
      <c r="H156" s="8"/>
      <c r="O156" s="12"/>
      <c r="R156" s="12"/>
    </row>
    <row r="157">
      <c r="C157" s="8"/>
      <c r="G157" s="8"/>
      <c r="H157" s="8"/>
      <c r="O157" s="12"/>
      <c r="R157" s="12"/>
    </row>
    <row r="158">
      <c r="C158" s="8"/>
      <c r="G158" s="8"/>
      <c r="H158" s="8"/>
      <c r="O158" s="12"/>
      <c r="R158" s="12"/>
    </row>
    <row r="159">
      <c r="C159" s="8"/>
      <c r="G159" s="8"/>
      <c r="H159" s="8"/>
      <c r="O159" s="12"/>
      <c r="R159" s="12"/>
    </row>
    <row r="160">
      <c r="C160" s="8"/>
      <c r="G160" s="8"/>
      <c r="H160" s="8"/>
      <c r="O160" s="12"/>
      <c r="R160" s="12"/>
    </row>
    <row r="161">
      <c r="C161" s="8"/>
      <c r="G161" s="8"/>
      <c r="H161" s="8"/>
      <c r="O161" s="12"/>
      <c r="R161" s="12"/>
    </row>
    <row r="162">
      <c r="C162" s="8"/>
      <c r="G162" s="8"/>
      <c r="H162" s="8"/>
      <c r="O162" s="12"/>
      <c r="R162" s="12"/>
    </row>
    <row r="163">
      <c r="C163" s="8"/>
      <c r="G163" s="8"/>
      <c r="H163" s="8"/>
      <c r="O163" s="12"/>
      <c r="R163" s="12"/>
    </row>
    <row r="164">
      <c r="C164" s="8"/>
      <c r="G164" s="8"/>
      <c r="H164" s="8"/>
      <c r="O164" s="12"/>
      <c r="R164" s="12"/>
    </row>
    <row r="165">
      <c r="C165" s="8"/>
      <c r="G165" s="8"/>
      <c r="H165" s="8"/>
      <c r="O165" s="12"/>
      <c r="R165" s="12"/>
    </row>
    <row r="166">
      <c r="C166" s="8"/>
      <c r="G166" s="8"/>
      <c r="H166" s="8"/>
      <c r="O166" s="12"/>
      <c r="R166" s="12"/>
    </row>
    <row r="167">
      <c r="C167" s="8"/>
      <c r="G167" s="8"/>
      <c r="H167" s="8"/>
      <c r="O167" s="12"/>
      <c r="R167" s="12"/>
    </row>
    <row r="168">
      <c r="C168" s="8"/>
      <c r="G168" s="8"/>
      <c r="H168" s="8"/>
      <c r="O168" s="12"/>
      <c r="R168" s="12"/>
    </row>
    <row r="169">
      <c r="C169" s="8"/>
      <c r="G169" s="8"/>
      <c r="H169" s="8"/>
      <c r="O169" s="12"/>
      <c r="R169" s="12"/>
    </row>
    <row r="170">
      <c r="C170" s="8"/>
      <c r="G170" s="8"/>
      <c r="H170" s="8"/>
      <c r="O170" s="12"/>
      <c r="R170" s="12"/>
    </row>
    <row r="171">
      <c r="C171" s="8"/>
      <c r="G171" s="8"/>
      <c r="H171" s="8"/>
      <c r="O171" s="12"/>
      <c r="R171" s="12"/>
    </row>
    <row r="172">
      <c r="C172" s="8"/>
      <c r="G172" s="8"/>
      <c r="H172" s="8"/>
      <c r="O172" s="12"/>
      <c r="R172" s="12"/>
    </row>
    <row r="173">
      <c r="C173" s="8"/>
      <c r="G173" s="8"/>
      <c r="H173" s="8"/>
      <c r="O173" s="12"/>
      <c r="R173" s="12"/>
    </row>
    <row r="174">
      <c r="C174" s="8"/>
      <c r="G174" s="8"/>
      <c r="H174" s="8"/>
      <c r="O174" s="12"/>
      <c r="R174" s="12"/>
    </row>
    <row r="175">
      <c r="C175" s="8"/>
      <c r="G175" s="8"/>
      <c r="H175" s="8"/>
      <c r="O175" s="12"/>
      <c r="R175" s="12"/>
    </row>
    <row r="176">
      <c r="C176" s="8"/>
      <c r="G176" s="8"/>
      <c r="H176" s="8"/>
      <c r="O176" s="12"/>
      <c r="R176" s="12"/>
    </row>
    <row r="177">
      <c r="C177" s="8"/>
      <c r="G177" s="8"/>
      <c r="H177" s="8"/>
      <c r="O177" s="12"/>
      <c r="R177" s="12"/>
    </row>
    <row r="178">
      <c r="C178" s="8"/>
      <c r="G178" s="8"/>
      <c r="H178" s="8"/>
      <c r="O178" s="12"/>
      <c r="R178" s="12"/>
    </row>
    <row r="179">
      <c r="C179" s="8"/>
      <c r="G179" s="8"/>
      <c r="H179" s="8"/>
      <c r="O179" s="12"/>
      <c r="R179" s="12"/>
    </row>
    <row r="180">
      <c r="C180" s="8"/>
      <c r="G180" s="8"/>
      <c r="H180" s="8"/>
      <c r="O180" s="12"/>
      <c r="R180" s="12"/>
    </row>
    <row r="181">
      <c r="C181" s="8"/>
      <c r="G181" s="8"/>
      <c r="H181" s="8"/>
      <c r="O181" s="12"/>
      <c r="R181" s="12"/>
    </row>
    <row r="182">
      <c r="C182" s="8"/>
      <c r="G182" s="8"/>
      <c r="H182" s="8"/>
      <c r="O182" s="12"/>
      <c r="R182" s="12"/>
    </row>
    <row r="183">
      <c r="C183" s="8"/>
      <c r="G183" s="8"/>
      <c r="H183" s="8"/>
      <c r="O183" s="12"/>
      <c r="R183" s="12"/>
    </row>
    <row r="184">
      <c r="C184" s="8"/>
      <c r="G184" s="8"/>
      <c r="H184" s="8"/>
      <c r="O184" s="12"/>
      <c r="R184" s="12"/>
    </row>
    <row r="185">
      <c r="C185" s="8"/>
      <c r="G185" s="8"/>
      <c r="H185" s="8"/>
      <c r="O185" s="12"/>
      <c r="R185" s="12"/>
    </row>
    <row r="186">
      <c r="C186" s="8"/>
      <c r="G186" s="8"/>
      <c r="H186" s="8"/>
      <c r="O186" s="12"/>
      <c r="R186" s="12"/>
    </row>
    <row r="187">
      <c r="C187" s="8"/>
      <c r="G187" s="8"/>
      <c r="H187" s="8"/>
      <c r="O187" s="12"/>
      <c r="R187" s="12"/>
    </row>
    <row r="188">
      <c r="C188" s="8"/>
      <c r="G188" s="8"/>
      <c r="H188" s="8"/>
      <c r="O188" s="12"/>
      <c r="R188" s="12"/>
    </row>
    <row r="189">
      <c r="C189" s="8"/>
      <c r="G189" s="8"/>
      <c r="H189" s="8"/>
      <c r="O189" s="12"/>
      <c r="R189" s="12"/>
    </row>
    <row r="190">
      <c r="C190" s="8"/>
      <c r="G190" s="8"/>
      <c r="H190" s="8"/>
      <c r="O190" s="12"/>
      <c r="R190" s="12"/>
    </row>
    <row r="191">
      <c r="C191" s="8"/>
      <c r="G191" s="8"/>
      <c r="H191" s="8"/>
      <c r="O191" s="12"/>
      <c r="R191" s="12"/>
    </row>
    <row r="192">
      <c r="C192" s="8"/>
      <c r="G192" s="8"/>
      <c r="H192" s="8"/>
      <c r="O192" s="12"/>
      <c r="R192" s="12"/>
    </row>
    <row r="193">
      <c r="C193" s="8"/>
      <c r="G193" s="8"/>
      <c r="H193" s="8"/>
      <c r="O193" s="12"/>
      <c r="R193" s="12"/>
    </row>
    <row r="194">
      <c r="C194" s="8"/>
      <c r="G194" s="8"/>
      <c r="H194" s="8"/>
      <c r="O194" s="12"/>
      <c r="R194" s="12"/>
    </row>
    <row r="195">
      <c r="C195" s="8"/>
      <c r="G195" s="8"/>
      <c r="H195" s="8"/>
      <c r="O195" s="12"/>
      <c r="R195" s="12"/>
    </row>
    <row r="196">
      <c r="C196" s="8"/>
      <c r="G196" s="8"/>
      <c r="H196" s="8"/>
      <c r="O196" s="12"/>
      <c r="R196" s="12"/>
    </row>
    <row r="197">
      <c r="C197" s="8"/>
      <c r="G197" s="8"/>
      <c r="H197" s="8"/>
      <c r="O197" s="12"/>
      <c r="R197" s="12"/>
    </row>
    <row r="198">
      <c r="C198" s="8"/>
      <c r="G198" s="8"/>
      <c r="H198" s="8"/>
      <c r="O198" s="12"/>
      <c r="R198" s="12"/>
    </row>
    <row r="199">
      <c r="C199" s="8"/>
      <c r="G199" s="8"/>
      <c r="H199" s="8"/>
      <c r="O199" s="12"/>
      <c r="R199" s="12"/>
    </row>
    <row r="200">
      <c r="C200" s="8"/>
      <c r="G200" s="8"/>
      <c r="H200" s="8"/>
      <c r="O200" s="12"/>
      <c r="R200" s="12"/>
    </row>
  </sheetData>
  <autoFilter ref="$A$1:$V$11"/>
  <dataValidations>
    <dataValidation type="list" allowBlank="1" sqref="G2:G200">
      <formula1>"CLEAN_FEED,PHONE_MIC"</formula1>
    </dataValidation>
    <dataValidation type="list" allowBlank="1" sqref="H2:H200">
      <formula1>"T-one,GigaAM-v3 RNNT,faster-whisper,Vosk"</formula1>
    </dataValidation>
    <dataValidation type="list" allowBlank="1" sqref="C2:C200">
      <formula1>"A,B,C,D,E"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1.63"/>
    <col customWidth="1" min="3" max="4" width="27.63"/>
    <col customWidth="1" min="5" max="5" width="11.38"/>
    <col customWidth="1" min="6" max="6" width="8.5"/>
    <col customWidth="1" min="7" max="7" width="8.88"/>
    <col customWidth="1" min="8" max="9" width="27.63"/>
    <col customWidth="1" min="10" max="10" width="11.75"/>
    <col customWidth="1" min="11" max="11" width="8.13"/>
    <col customWidth="1" min="12" max="12" width="27.63"/>
  </cols>
  <sheetData>
    <row r="1">
      <c r="A1" s="1" t="s">
        <v>426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16</v>
      </c>
      <c r="H1" s="1" t="s">
        <v>432</v>
      </c>
      <c r="I1" s="1" t="s">
        <v>433</v>
      </c>
      <c r="J1" s="1" t="s">
        <v>434</v>
      </c>
      <c r="K1" s="1" t="s">
        <v>19</v>
      </c>
      <c r="L1" s="1" t="s">
        <v>18</v>
      </c>
    </row>
    <row r="2">
      <c r="A2" s="4" t="s">
        <v>435</v>
      </c>
      <c r="B2" s="4" t="s">
        <v>436</v>
      </c>
      <c r="C2" s="4" t="s">
        <v>437</v>
      </c>
      <c r="D2" s="4" t="s">
        <v>438</v>
      </c>
      <c r="E2" s="4" t="s">
        <v>35</v>
      </c>
      <c r="F2" s="4" t="s">
        <v>35</v>
      </c>
      <c r="G2" s="4" t="s">
        <v>35</v>
      </c>
      <c r="H2" s="4" t="s">
        <v>439</v>
      </c>
      <c r="I2" s="4" t="s">
        <v>440</v>
      </c>
      <c r="J2" s="4" t="s">
        <v>22</v>
      </c>
      <c r="K2" s="4" t="s">
        <v>441</v>
      </c>
      <c r="L2" s="4" t="s">
        <v>442</v>
      </c>
    </row>
    <row r="3">
      <c r="A3" s="4" t="s">
        <v>443</v>
      </c>
      <c r="B3" s="4" t="s">
        <v>436</v>
      </c>
      <c r="C3" s="4" t="s">
        <v>444</v>
      </c>
      <c r="D3" s="4" t="s">
        <v>445</v>
      </c>
      <c r="E3" s="4" t="s">
        <v>35</v>
      </c>
      <c r="F3" s="4" t="s">
        <v>35</v>
      </c>
      <c r="G3" s="4" t="s">
        <v>35</v>
      </c>
      <c r="H3" s="4" t="s">
        <v>446</v>
      </c>
      <c r="I3" s="4" t="s">
        <v>447</v>
      </c>
      <c r="J3" s="4" t="s">
        <v>22</v>
      </c>
      <c r="K3" s="4" t="s">
        <v>441</v>
      </c>
      <c r="L3" s="4" t="s">
        <v>442</v>
      </c>
    </row>
    <row r="4">
      <c r="A4" s="4" t="s">
        <v>448</v>
      </c>
      <c r="B4" s="4" t="s">
        <v>449</v>
      </c>
      <c r="C4" s="4" t="s">
        <v>450</v>
      </c>
      <c r="D4" s="4" t="s">
        <v>451</v>
      </c>
      <c r="E4" s="4" t="s">
        <v>68</v>
      </c>
      <c r="F4" s="4" t="s">
        <v>35</v>
      </c>
      <c r="G4" s="4" t="s">
        <v>35</v>
      </c>
      <c r="H4" s="4" t="s">
        <v>452</v>
      </c>
      <c r="I4" s="4" t="s">
        <v>453</v>
      </c>
      <c r="J4" s="4" t="s">
        <v>22</v>
      </c>
      <c r="K4" s="4" t="s">
        <v>441</v>
      </c>
      <c r="L4" s="4" t="s">
        <v>442</v>
      </c>
    </row>
    <row r="5">
      <c r="A5" s="4" t="s">
        <v>454</v>
      </c>
      <c r="B5" s="4" t="s">
        <v>436</v>
      </c>
      <c r="C5" s="4" t="s">
        <v>455</v>
      </c>
      <c r="D5" s="4" t="s">
        <v>456</v>
      </c>
      <c r="E5" s="4" t="s">
        <v>35</v>
      </c>
      <c r="F5" s="4" t="s">
        <v>68</v>
      </c>
      <c r="G5" s="4" t="s">
        <v>68</v>
      </c>
      <c r="H5" s="4" t="s">
        <v>458</v>
      </c>
      <c r="I5" s="4" t="s">
        <v>459</v>
      </c>
      <c r="J5" s="4" t="s">
        <v>22</v>
      </c>
      <c r="K5" s="4" t="s">
        <v>441</v>
      </c>
      <c r="L5" s="4" t="s">
        <v>462</v>
      </c>
    </row>
    <row r="6">
      <c r="A6" s="4" t="s">
        <v>464</v>
      </c>
      <c r="B6" s="4" t="s">
        <v>465</v>
      </c>
      <c r="C6" s="4" t="s">
        <v>467</v>
      </c>
      <c r="D6" s="4" t="s">
        <v>468</v>
      </c>
      <c r="E6" s="4" t="s">
        <v>35</v>
      </c>
      <c r="F6" s="4" t="s">
        <v>35</v>
      </c>
      <c r="G6" s="4" t="s">
        <v>35</v>
      </c>
      <c r="H6" s="4" t="s">
        <v>469</v>
      </c>
      <c r="I6" s="4" t="s">
        <v>470</v>
      </c>
      <c r="J6" s="4" t="s">
        <v>22</v>
      </c>
      <c r="K6" s="4" t="s">
        <v>441</v>
      </c>
      <c r="L6" s="4" t="s">
        <v>451</v>
      </c>
    </row>
    <row r="7">
      <c r="A7" s="4" t="s">
        <v>471</v>
      </c>
      <c r="B7" s="4" t="s">
        <v>473</v>
      </c>
      <c r="C7" s="4" t="s">
        <v>474</v>
      </c>
      <c r="D7" s="4" t="s">
        <v>475</v>
      </c>
      <c r="E7" s="4" t="s">
        <v>35</v>
      </c>
      <c r="F7" s="4" t="s">
        <v>35</v>
      </c>
      <c r="G7" s="4" t="s">
        <v>35</v>
      </c>
      <c r="H7" s="4" t="s">
        <v>476</v>
      </c>
      <c r="I7" s="4" t="s">
        <v>477</v>
      </c>
      <c r="J7" s="4" t="s">
        <v>22</v>
      </c>
      <c r="K7" s="4" t="s">
        <v>441</v>
      </c>
      <c r="L7" s="4" t="s">
        <v>478</v>
      </c>
    </row>
    <row r="8">
      <c r="A8" s="4" t="s">
        <v>479</v>
      </c>
      <c r="B8" s="4" t="s">
        <v>480</v>
      </c>
      <c r="C8" s="4" t="s">
        <v>481</v>
      </c>
      <c r="D8" s="4" t="s">
        <v>482</v>
      </c>
      <c r="E8" s="4" t="s">
        <v>35</v>
      </c>
      <c r="F8" s="4" t="s">
        <v>35</v>
      </c>
      <c r="G8" s="4" t="s">
        <v>35</v>
      </c>
      <c r="H8" s="4" t="s">
        <v>484</v>
      </c>
      <c r="I8" s="4" t="s">
        <v>485</v>
      </c>
      <c r="J8" s="4" t="s">
        <v>22</v>
      </c>
      <c r="K8" s="4" t="s">
        <v>441</v>
      </c>
      <c r="L8" s="4" t="s">
        <v>487</v>
      </c>
    </row>
    <row r="9">
      <c r="A9" s="4" t="s">
        <v>488</v>
      </c>
      <c r="B9" s="4" t="s">
        <v>490</v>
      </c>
      <c r="C9" s="4" t="s">
        <v>491</v>
      </c>
      <c r="D9" s="4" t="s">
        <v>493</v>
      </c>
      <c r="E9" s="4" t="s">
        <v>68</v>
      </c>
      <c r="F9" s="4" t="s">
        <v>35</v>
      </c>
      <c r="G9" s="4" t="s">
        <v>35</v>
      </c>
      <c r="H9" s="4" t="s">
        <v>495</v>
      </c>
      <c r="I9" s="4" t="s">
        <v>496</v>
      </c>
      <c r="J9" s="4" t="s">
        <v>22</v>
      </c>
      <c r="K9" s="4" t="s">
        <v>441</v>
      </c>
      <c r="L9" s="4" t="s">
        <v>497</v>
      </c>
    </row>
    <row r="10">
      <c r="A10" s="4" t="s">
        <v>498</v>
      </c>
      <c r="B10" s="4" t="s">
        <v>499</v>
      </c>
      <c r="C10" s="4" t="s">
        <v>500</v>
      </c>
      <c r="D10" s="4" t="s">
        <v>501</v>
      </c>
      <c r="E10" s="4" t="s">
        <v>35</v>
      </c>
      <c r="F10" s="4" t="s">
        <v>35</v>
      </c>
      <c r="G10" s="4" t="s">
        <v>35</v>
      </c>
      <c r="H10" s="4" t="s">
        <v>502</v>
      </c>
      <c r="I10" s="4" t="s">
        <v>503</v>
      </c>
      <c r="J10" s="4" t="s">
        <v>22</v>
      </c>
      <c r="K10" s="4" t="s">
        <v>441</v>
      </c>
      <c r="L10" s="4" t="s">
        <v>130</v>
      </c>
    </row>
    <row r="11">
      <c r="A11" s="4" t="s">
        <v>504</v>
      </c>
      <c r="B11" s="4" t="s">
        <v>505</v>
      </c>
      <c r="C11" s="4" t="s">
        <v>507</v>
      </c>
      <c r="D11" s="4" t="s">
        <v>508</v>
      </c>
      <c r="E11" s="4" t="s">
        <v>68</v>
      </c>
      <c r="F11" s="4" t="s">
        <v>35</v>
      </c>
      <c r="G11" s="4" t="s">
        <v>35</v>
      </c>
      <c r="H11" s="4" t="s">
        <v>510</v>
      </c>
      <c r="I11" s="4" t="s">
        <v>512</v>
      </c>
      <c r="J11" s="4" t="s">
        <v>22</v>
      </c>
      <c r="K11" s="4" t="s">
        <v>441</v>
      </c>
      <c r="L11" s="4" t="s">
        <v>36</v>
      </c>
    </row>
    <row r="12">
      <c r="E12" s="8"/>
      <c r="F12" s="8"/>
      <c r="G12" s="8"/>
    </row>
    <row r="13">
      <c r="E13" s="8"/>
      <c r="F13" s="8"/>
      <c r="G13" s="8"/>
    </row>
    <row r="14">
      <c r="E14" s="8"/>
      <c r="F14" s="8"/>
      <c r="G14" s="8"/>
    </row>
    <row r="15">
      <c r="E15" s="8"/>
      <c r="F15" s="8"/>
      <c r="G15" s="8"/>
    </row>
    <row r="16">
      <c r="E16" s="8"/>
      <c r="F16" s="8"/>
      <c r="G16" s="8"/>
    </row>
    <row r="17">
      <c r="E17" s="8"/>
      <c r="F17" s="8"/>
      <c r="G17" s="8"/>
    </row>
    <row r="18">
      <c r="E18" s="8"/>
      <c r="F18" s="8"/>
      <c r="G18" s="8"/>
    </row>
    <row r="19">
      <c r="E19" s="8"/>
      <c r="F19" s="8"/>
      <c r="G19" s="8"/>
    </row>
    <row r="20">
      <c r="E20" s="8"/>
      <c r="F20" s="8"/>
      <c r="G20" s="8"/>
    </row>
    <row r="21">
      <c r="E21" s="8"/>
      <c r="F21" s="8"/>
      <c r="G21" s="8"/>
    </row>
    <row r="22">
      <c r="E22" s="8"/>
      <c r="F22" s="8"/>
      <c r="G22" s="8"/>
    </row>
    <row r="23">
      <c r="E23" s="8"/>
      <c r="F23" s="8"/>
      <c r="G23" s="8"/>
    </row>
    <row r="24">
      <c r="E24" s="8"/>
      <c r="F24" s="8"/>
      <c r="G24" s="8"/>
    </row>
    <row r="25">
      <c r="E25" s="8"/>
      <c r="F25" s="8"/>
      <c r="G25" s="8"/>
    </row>
    <row r="26">
      <c r="E26" s="8"/>
      <c r="F26" s="8"/>
      <c r="G26" s="8"/>
    </row>
    <row r="27">
      <c r="E27" s="8"/>
      <c r="F27" s="8"/>
      <c r="G27" s="8"/>
    </row>
    <row r="28">
      <c r="E28" s="8"/>
      <c r="F28" s="8"/>
      <c r="G28" s="8"/>
    </row>
    <row r="29">
      <c r="E29" s="8"/>
      <c r="F29" s="8"/>
      <c r="G29" s="8"/>
    </row>
    <row r="30">
      <c r="E30" s="8"/>
      <c r="F30" s="8"/>
      <c r="G30" s="8"/>
    </row>
    <row r="31">
      <c r="E31" s="8"/>
      <c r="F31" s="8"/>
      <c r="G31" s="8"/>
    </row>
    <row r="32">
      <c r="E32" s="8"/>
      <c r="F32" s="8"/>
      <c r="G32" s="8"/>
    </row>
    <row r="33">
      <c r="E33" s="8"/>
      <c r="F33" s="8"/>
      <c r="G33" s="8"/>
    </row>
    <row r="34">
      <c r="E34" s="8"/>
      <c r="F34" s="8"/>
      <c r="G34" s="8"/>
    </row>
    <row r="35">
      <c r="E35" s="8"/>
      <c r="F35" s="8"/>
      <c r="G35" s="8"/>
    </row>
    <row r="36">
      <c r="E36" s="8"/>
      <c r="F36" s="8"/>
      <c r="G36" s="8"/>
    </row>
    <row r="37">
      <c r="E37" s="8"/>
      <c r="F37" s="8"/>
      <c r="G37" s="8"/>
    </row>
    <row r="38">
      <c r="E38" s="8"/>
      <c r="F38" s="8"/>
      <c r="G38" s="8"/>
    </row>
    <row r="39">
      <c r="E39" s="8"/>
      <c r="F39" s="8"/>
      <c r="G39" s="8"/>
    </row>
    <row r="40">
      <c r="E40" s="8"/>
      <c r="F40" s="8"/>
      <c r="G40" s="8"/>
    </row>
    <row r="41">
      <c r="E41" s="8"/>
      <c r="F41" s="8"/>
      <c r="G41" s="8"/>
    </row>
    <row r="42">
      <c r="E42" s="8"/>
      <c r="F42" s="8"/>
      <c r="G42" s="8"/>
    </row>
    <row r="43">
      <c r="E43" s="8"/>
      <c r="F43" s="8"/>
      <c r="G43" s="8"/>
    </row>
    <row r="44">
      <c r="E44" s="8"/>
      <c r="F44" s="8"/>
      <c r="G44" s="8"/>
    </row>
    <row r="45">
      <c r="E45" s="8"/>
      <c r="F45" s="8"/>
      <c r="G45" s="8"/>
    </row>
    <row r="46">
      <c r="E46" s="8"/>
      <c r="F46" s="8"/>
      <c r="G46" s="8"/>
    </row>
    <row r="47">
      <c r="E47" s="8"/>
      <c r="F47" s="8"/>
      <c r="G47" s="8"/>
    </row>
    <row r="48">
      <c r="E48" s="8"/>
      <c r="F48" s="8"/>
      <c r="G48" s="8"/>
    </row>
    <row r="49">
      <c r="E49" s="8"/>
      <c r="F49" s="8"/>
      <c r="G49" s="8"/>
    </row>
    <row r="50">
      <c r="E50" s="8"/>
      <c r="F50" s="8"/>
      <c r="G50" s="8"/>
    </row>
    <row r="51">
      <c r="E51" s="8"/>
      <c r="F51" s="8"/>
      <c r="G51" s="8"/>
    </row>
    <row r="52">
      <c r="E52" s="8"/>
      <c r="F52" s="8"/>
      <c r="G52" s="8"/>
    </row>
    <row r="53">
      <c r="E53" s="8"/>
      <c r="F53" s="8"/>
      <c r="G53" s="8"/>
    </row>
    <row r="54">
      <c r="E54" s="8"/>
      <c r="F54" s="8"/>
      <c r="G54" s="8"/>
    </row>
    <row r="55">
      <c r="E55" s="8"/>
      <c r="F55" s="8"/>
      <c r="G55" s="8"/>
    </row>
    <row r="56">
      <c r="E56" s="8"/>
      <c r="F56" s="8"/>
      <c r="G56" s="8"/>
    </row>
    <row r="57">
      <c r="E57" s="8"/>
      <c r="F57" s="8"/>
      <c r="G57" s="8"/>
    </row>
    <row r="58">
      <c r="E58" s="8"/>
      <c r="F58" s="8"/>
      <c r="G58" s="8"/>
    </row>
    <row r="59">
      <c r="E59" s="8"/>
      <c r="F59" s="8"/>
      <c r="G59" s="8"/>
    </row>
    <row r="60">
      <c r="E60" s="8"/>
      <c r="F60" s="8"/>
      <c r="G60" s="8"/>
    </row>
    <row r="61">
      <c r="E61" s="8"/>
      <c r="F61" s="8"/>
      <c r="G61" s="8"/>
    </row>
    <row r="62">
      <c r="E62" s="8"/>
      <c r="F62" s="8"/>
      <c r="G62" s="8"/>
    </row>
    <row r="63">
      <c r="E63" s="8"/>
      <c r="F63" s="8"/>
      <c r="G63" s="8"/>
    </row>
    <row r="64">
      <c r="E64" s="8"/>
      <c r="F64" s="8"/>
      <c r="G64" s="8"/>
    </row>
    <row r="65">
      <c r="E65" s="8"/>
      <c r="F65" s="8"/>
      <c r="G65" s="8"/>
    </row>
    <row r="66">
      <c r="E66" s="8"/>
      <c r="F66" s="8"/>
      <c r="G66" s="8"/>
    </row>
    <row r="67">
      <c r="E67" s="8"/>
      <c r="F67" s="8"/>
      <c r="G67" s="8"/>
    </row>
    <row r="68">
      <c r="E68" s="8"/>
      <c r="F68" s="8"/>
      <c r="G68" s="8"/>
    </row>
    <row r="69">
      <c r="E69" s="8"/>
      <c r="F69" s="8"/>
      <c r="G69" s="8"/>
    </row>
    <row r="70">
      <c r="E70" s="8"/>
      <c r="F70" s="8"/>
      <c r="G70" s="8"/>
    </row>
    <row r="71">
      <c r="E71" s="8"/>
      <c r="F71" s="8"/>
      <c r="G71" s="8"/>
    </row>
    <row r="72">
      <c r="E72" s="8"/>
      <c r="F72" s="8"/>
      <c r="G72" s="8"/>
    </row>
    <row r="73">
      <c r="E73" s="8"/>
      <c r="F73" s="8"/>
      <c r="G73" s="8"/>
    </row>
    <row r="74">
      <c r="E74" s="8"/>
      <c r="F74" s="8"/>
      <c r="G74" s="8"/>
    </row>
    <row r="75">
      <c r="E75" s="8"/>
      <c r="F75" s="8"/>
      <c r="G75" s="8"/>
    </row>
    <row r="76">
      <c r="E76" s="8"/>
      <c r="F76" s="8"/>
      <c r="G76" s="8"/>
    </row>
    <row r="77">
      <c r="E77" s="8"/>
      <c r="F77" s="8"/>
      <c r="G77" s="8"/>
    </row>
    <row r="78">
      <c r="E78" s="8"/>
      <c r="F78" s="8"/>
      <c r="G78" s="8"/>
    </row>
    <row r="79">
      <c r="E79" s="8"/>
      <c r="F79" s="8"/>
      <c r="G79" s="8"/>
    </row>
    <row r="80">
      <c r="E80" s="8"/>
      <c r="F80" s="8"/>
      <c r="G80" s="8"/>
    </row>
    <row r="81">
      <c r="E81" s="8"/>
      <c r="F81" s="8"/>
      <c r="G81" s="8"/>
    </row>
    <row r="82">
      <c r="E82" s="8"/>
      <c r="F82" s="8"/>
      <c r="G82" s="8"/>
    </row>
    <row r="83">
      <c r="E83" s="8"/>
      <c r="F83" s="8"/>
      <c r="G83" s="8"/>
    </row>
    <row r="84">
      <c r="E84" s="8"/>
      <c r="F84" s="8"/>
      <c r="G84" s="8"/>
    </row>
    <row r="85">
      <c r="E85" s="8"/>
      <c r="F85" s="8"/>
      <c r="G85" s="8"/>
    </row>
    <row r="86">
      <c r="E86" s="8"/>
      <c r="F86" s="8"/>
      <c r="G86" s="8"/>
    </row>
    <row r="87">
      <c r="E87" s="8"/>
      <c r="F87" s="8"/>
      <c r="G87" s="8"/>
    </row>
    <row r="88">
      <c r="E88" s="8"/>
      <c r="F88" s="8"/>
      <c r="G88" s="8"/>
    </row>
    <row r="89">
      <c r="E89" s="8"/>
      <c r="F89" s="8"/>
      <c r="G89" s="8"/>
    </row>
    <row r="90">
      <c r="E90" s="8"/>
      <c r="F90" s="8"/>
      <c r="G90" s="8"/>
    </row>
    <row r="91">
      <c r="E91" s="8"/>
      <c r="F91" s="8"/>
      <c r="G91" s="8"/>
    </row>
    <row r="92">
      <c r="E92" s="8"/>
      <c r="F92" s="8"/>
      <c r="G92" s="8"/>
    </row>
    <row r="93">
      <c r="E93" s="8"/>
      <c r="F93" s="8"/>
      <c r="G93" s="8"/>
    </row>
    <row r="94">
      <c r="E94" s="8"/>
      <c r="F94" s="8"/>
      <c r="G94" s="8"/>
    </row>
    <row r="95">
      <c r="E95" s="8"/>
      <c r="F95" s="8"/>
      <c r="G95" s="8"/>
    </row>
    <row r="96">
      <c r="E96" s="8"/>
      <c r="F96" s="8"/>
      <c r="G96" s="8"/>
    </row>
    <row r="97">
      <c r="E97" s="8"/>
      <c r="F97" s="8"/>
      <c r="G97" s="8"/>
    </row>
    <row r="98">
      <c r="E98" s="8"/>
      <c r="F98" s="8"/>
      <c r="G98" s="8"/>
    </row>
    <row r="99">
      <c r="E99" s="8"/>
      <c r="F99" s="8"/>
      <c r="G99" s="8"/>
    </row>
    <row r="100">
      <c r="E100" s="8"/>
      <c r="F100" s="8"/>
      <c r="G100" s="8"/>
    </row>
  </sheetData>
  <autoFilter ref="$A$1:$L$11"/>
  <conditionalFormatting sqref="G2:G100">
    <cfRule type="cellIs" dxfId="4" priority="1" stopIfTrue="1" operator="equal">
      <formula>"HIGH"</formula>
    </cfRule>
  </conditionalFormatting>
  <dataValidations>
    <dataValidation type="list" allowBlank="1" sqref="E2:G100">
      <formula1>"LOW,MEDIUM,HIGH"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8.13"/>
    <col customWidth="1" min="3" max="3" width="12.63"/>
    <col customWidth="1" min="4" max="4" width="12.5"/>
    <col customWidth="1" min="5" max="5" width="7.0"/>
    <col customWidth="1" min="6" max="6" width="7.88"/>
    <col customWidth="1" min="7" max="7" width="10.38"/>
    <col customWidth="1" min="8" max="8" width="12.75"/>
  </cols>
  <sheetData>
    <row r="1">
      <c r="A1" s="1" t="s">
        <v>457</v>
      </c>
      <c r="B1" s="1" t="s">
        <v>19</v>
      </c>
      <c r="C1" s="1" t="s">
        <v>460</v>
      </c>
      <c r="D1" s="1" t="s">
        <v>461</v>
      </c>
      <c r="E1" s="1" t="s">
        <v>463</v>
      </c>
      <c r="F1" s="1" t="s">
        <v>466</v>
      </c>
      <c r="G1" s="1" t="s">
        <v>429</v>
      </c>
      <c r="H1" s="1" t="s">
        <v>312</v>
      </c>
    </row>
    <row r="2">
      <c r="A2" s="4" t="s">
        <v>472</v>
      </c>
      <c r="B2" s="4" t="s">
        <v>483</v>
      </c>
      <c r="C2" s="4" t="s">
        <v>252</v>
      </c>
      <c r="D2" s="4" t="s">
        <v>486</v>
      </c>
      <c r="E2" s="6"/>
      <c r="F2" s="6"/>
      <c r="G2" s="4" t="s">
        <v>489</v>
      </c>
      <c r="H2" s="6"/>
    </row>
    <row r="3">
      <c r="A3" s="4" t="s">
        <v>492</v>
      </c>
      <c r="B3" s="4" t="s">
        <v>483</v>
      </c>
      <c r="C3" s="4" t="s">
        <v>472</v>
      </c>
      <c r="D3" s="4" t="s">
        <v>494</v>
      </c>
      <c r="E3" s="6"/>
      <c r="F3" s="6"/>
      <c r="G3" s="4" t="s">
        <v>482</v>
      </c>
      <c r="H3" s="6"/>
    </row>
    <row r="4">
      <c r="A4" s="4" t="s">
        <v>506</v>
      </c>
      <c r="B4" s="4" t="s">
        <v>483</v>
      </c>
      <c r="C4" s="4" t="s">
        <v>492</v>
      </c>
      <c r="D4" s="4" t="s">
        <v>509</v>
      </c>
      <c r="E4" s="6"/>
      <c r="F4" s="6"/>
      <c r="G4" s="4" t="s">
        <v>438</v>
      </c>
      <c r="H4" s="6"/>
    </row>
    <row r="5">
      <c r="A5" s="4" t="s">
        <v>511</v>
      </c>
      <c r="B5" s="4" t="s">
        <v>483</v>
      </c>
      <c r="C5" s="4" t="s">
        <v>513</v>
      </c>
      <c r="D5" s="4" t="s">
        <v>514</v>
      </c>
      <c r="E5" s="6"/>
      <c r="F5" s="6"/>
      <c r="G5" s="4" t="s">
        <v>515</v>
      </c>
      <c r="H5" s="4" t="s">
        <v>516</v>
      </c>
    </row>
    <row r="6">
      <c r="A6" s="4" t="s">
        <v>517</v>
      </c>
      <c r="B6" s="4" t="s">
        <v>483</v>
      </c>
      <c r="C6" s="4" t="s">
        <v>518</v>
      </c>
      <c r="D6" s="4" t="s">
        <v>519</v>
      </c>
      <c r="E6" s="6"/>
      <c r="F6" s="6"/>
      <c r="G6" s="4" t="s">
        <v>520</v>
      </c>
      <c r="H6" s="6"/>
    </row>
    <row r="7">
      <c r="A7" s="4" t="s">
        <v>77</v>
      </c>
      <c r="B7" s="4" t="s">
        <v>483</v>
      </c>
      <c r="C7" s="4" t="s">
        <v>518</v>
      </c>
      <c r="D7" s="4" t="s">
        <v>521</v>
      </c>
      <c r="E7" s="6"/>
      <c r="F7" s="6"/>
      <c r="G7" s="4" t="s">
        <v>522</v>
      </c>
      <c r="H7" s="6"/>
    </row>
    <row r="8">
      <c r="A8" s="4" t="s">
        <v>523</v>
      </c>
      <c r="B8" s="4" t="s">
        <v>151</v>
      </c>
      <c r="C8" s="4" t="s">
        <v>524</v>
      </c>
      <c r="D8" s="4" t="s">
        <v>525</v>
      </c>
      <c r="E8" s="6"/>
      <c r="F8" s="6"/>
      <c r="G8" s="4" t="s">
        <v>526</v>
      </c>
      <c r="H8" s="6"/>
    </row>
    <row r="9">
      <c r="A9" s="4" t="s">
        <v>527</v>
      </c>
      <c r="B9" s="4" t="s">
        <v>163</v>
      </c>
      <c r="C9" s="4" t="s">
        <v>528</v>
      </c>
      <c r="D9" s="4" t="s">
        <v>529</v>
      </c>
      <c r="E9" s="6"/>
      <c r="F9" s="6"/>
      <c r="G9" s="4" t="s">
        <v>530</v>
      </c>
      <c r="H9" s="4" t="s">
        <v>531</v>
      </c>
    </row>
    <row r="10">
      <c r="A10" s="4" t="s">
        <v>532</v>
      </c>
      <c r="B10" s="4" t="s">
        <v>163</v>
      </c>
      <c r="C10" s="4" t="s">
        <v>533</v>
      </c>
      <c r="D10" s="4" t="s">
        <v>534</v>
      </c>
      <c r="E10" s="6"/>
      <c r="F10" s="6"/>
      <c r="G10" s="4" t="s">
        <v>86</v>
      </c>
      <c r="H10" s="4" t="s">
        <v>535</v>
      </c>
    </row>
    <row r="11">
      <c r="A11" s="4" t="s">
        <v>536</v>
      </c>
      <c r="B11" s="4" t="s">
        <v>163</v>
      </c>
      <c r="C11" s="4" t="s">
        <v>537</v>
      </c>
      <c r="D11" s="4" t="s">
        <v>538</v>
      </c>
      <c r="E11" s="6"/>
      <c r="F11" s="6"/>
      <c r="G11" s="4" t="s">
        <v>59</v>
      </c>
      <c r="H11" s="6"/>
    </row>
    <row r="12">
      <c r="A12" s="4" t="s">
        <v>539</v>
      </c>
      <c r="B12" s="4" t="s">
        <v>163</v>
      </c>
      <c r="C12" s="4" t="s">
        <v>537</v>
      </c>
      <c r="D12" s="4" t="s">
        <v>540</v>
      </c>
      <c r="E12" s="6"/>
      <c r="F12" s="6"/>
      <c r="G12" s="4" t="s">
        <v>327</v>
      </c>
      <c r="H12" s="6"/>
    </row>
    <row r="13">
      <c r="A13" s="4" t="s">
        <v>541</v>
      </c>
      <c r="B13" s="4" t="s">
        <v>163</v>
      </c>
      <c r="C13" s="4" t="s">
        <v>537</v>
      </c>
      <c r="D13" s="4" t="s">
        <v>542</v>
      </c>
      <c r="E13" s="6"/>
      <c r="F13" s="6"/>
      <c r="G13" s="4" t="s">
        <v>348</v>
      </c>
      <c r="H13" s="6"/>
    </row>
    <row r="14">
      <c r="A14" s="4" t="s">
        <v>543</v>
      </c>
      <c r="B14" s="4" t="s">
        <v>163</v>
      </c>
      <c r="C14" s="4" t="s">
        <v>544</v>
      </c>
      <c r="D14" s="4" t="s">
        <v>545</v>
      </c>
      <c r="E14" s="6"/>
      <c r="F14" s="6"/>
      <c r="G14" s="4" t="s">
        <v>210</v>
      </c>
      <c r="H14" s="6"/>
    </row>
    <row r="15">
      <c r="A15" s="4" t="s">
        <v>546</v>
      </c>
      <c r="B15" s="4" t="s">
        <v>286</v>
      </c>
      <c r="C15" s="4" t="s">
        <v>547</v>
      </c>
      <c r="D15" s="4" t="s">
        <v>548</v>
      </c>
      <c r="E15" s="6"/>
      <c r="F15" s="6"/>
      <c r="G15" s="4" t="s">
        <v>549</v>
      </c>
      <c r="H15" s="6"/>
    </row>
    <row r="16">
      <c r="A16" s="4" t="s">
        <v>550</v>
      </c>
      <c r="B16" s="4" t="s">
        <v>286</v>
      </c>
      <c r="C16" s="4" t="s">
        <v>551</v>
      </c>
      <c r="D16" s="4" t="s">
        <v>552</v>
      </c>
      <c r="E16" s="6"/>
      <c r="F16" s="6"/>
      <c r="G16" s="4" t="s">
        <v>553</v>
      </c>
      <c r="H16" s="4" t="s">
        <v>554</v>
      </c>
    </row>
    <row r="17">
      <c r="A17" s="4" t="s">
        <v>555</v>
      </c>
      <c r="B17" s="4" t="s">
        <v>286</v>
      </c>
      <c r="C17" s="4" t="s">
        <v>556</v>
      </c>
      <c r="D17" s="4" t="s">
        <v>557</v>
      </c>
      <c r="E17" s="6"/>
      <c r="F17" s="6"/>
      <c r="G17" s="4" t="s">
        <v>558</v>
      </c>
      <c r="H17" s="4" t="s">
        <v>559</v>
      </c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</sheetData>
  <autoFilter ref="$A$1:$H$17"/>
  <conditionalFormatting sqref="B2:B100">
    <cfRule type="cellIs" dxfId="0" priority="1" stopIfTrue="1" operator="equal">
      <formula>"DONE"</formula>
    </cfRule>
  </conditionalFormatting>
  <conditionalFormatting sqref="B2:B100">
    <cfRule type="cellIs" dxfId="1" priority="2" stopIfTrue="1" operator="equal">
      <formula>"CURRENT"</formula>
    </cfRule>
  </conditionalFormatting>
  <conditionalFormatting sqref="B2:B100">
    <cfRule type="cellIs" dxfId="2" priority="3" stopIfTrue="1" operator="equal">
      <formula>"NEXT"</formula>
    </cfRule>
  </conditionalFormatting>
  <conditionalFormatting sqref="B2:B100">
    <cfRule type="cellIs" dxfId="3" priority="4" stopIfTrue="1" operator="equal">
      <formula>"FUTURE"</formula>
    </cfRule>
  </conditionalFormatting>
  <dataValidations>
    <dataValidation type="list" allowBlank="1" sqref="B2:B100">
      <formula1>"DONE,CURRENT,NEXT,FUTURE"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2.25"/>
    <col customWidth="1" min="3" max="3" width="12.5"/>
    <col customWidth="1" min="4" max="4" width="6.13"/>
    <col customWidth="1" min="5" max="5" width="11.88"/>
    <col customWidth="1" min="6" max="6" width="11.38"/>
    <col customWidth="1" min="7" max="7" width="12.0"/>
    <col customWidth="1" min="8" max="8" width="11.88"/>
    <col customWidth="1" min="9" max="9" width="10.5"/>
    <col customWidth="1" min="10" max="10" width="12.5"/>
    <col customWidth="1" min="11" max="12" width="27.63"/>
    <col customWidth="1" min="13" max="13" width="9.75"/>
    <col customWidth="1" min="14" max="14" width="27.63"/>
  </cols>
  <sheetData>
    <row r="1">
      <c r="A1" s="1" t="s">
        <v>144</v>
      </c>
      <c r="B1" s="1" t="s">
        <v>289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312</v>
      </c>
    </row>
    <row r="2">
      <c r="A2" s="4" t="s">
        <v>571</v>
      </c>
      <c r="B2" s="4" t="s">
        <v>572</v>
      </c>
      <c r="C2" s="4" t="s">
        <v>573</v>
      </c>
      <c r="D2" s="6"/>
      <c r="E2" s="4" t="s">
        <v>574</v>
      </c>
      <c r="F2" s="4" t="s">
        <v>31</v>
      </c>
      <c r="G2" s="4" t="s">
        <v>66</v>
      </c>
      <c r="H2" s="4" t="s">
        <v>66</v>
      </c>
      <c r="I2" s="6"/>
      <c r="J2" s="6"/>
      <c r="K2" s="4" t="s">
        <v>575</v>
      </c>
      <c r="L2" s="4" t="s">
        <v>576</v>
      </c>
      <c r="M2" s="4" t="s">
        <v>31</v>
      </c>
      <c r="N2" s="4" t="s">
        <v>577</v>
      </c>
    </row>
    <row r="3">
      <c r="A3" s="4" t="s">
        <v>578</v>
      </c>
      <c r="B3" s="4" t="s">
        <v>579</v>
      </c>
      <c r="C3" s="4" t="s">
        <v>573</v>
      </c>
      <c r="D3" s="6"/>
      <c r="E3" s="4" t="s">
        <v>574</v>
      </c>
      <c r="F3" s="4" t="s">
        <v>31</v>
      </c>
      <c r="G3" s="4" t="s">
        <v>66</v>
      </c>
      <c r="H3" s="4" t="s">
        <v>66</v>
      </c>
      <c r="I3" s="6"/>
      <c r="J3" s="6"/>
      <c r="K3" s="4" t="s">
        <v>580</v>
      </c>
      <c r="L3" s="4" t="s">
        <v>581</v>
      </c>
      <c r="M3" s="4" t="s">
        <v>31</v>
      </c>
      <c r="N3" s="4" t="s">
        <v>577</v>
      </c>
    </row>
    <row r="4">
      <c r="A4" s="4" t="s">
        <v>201</v>
      </c>
      <c r="B4" s="4" t="s">
        <v>582</v>
      </c>
      <c r="C4" s="4" t="s">
        <v>185</v>
      </c>
      <c r="D4" s="6"/>
      <c r="E4" s="4" t="s">
        <v>583</v>
      </c>
      <c r="F4" s="4" t="s">
        <v>31</v>
      </c>
      <c r="G4" s="4" t="s">
        <v>66</v>
      </c>
      <c r="H4" s="4" t="s">
        <v>66</v>
      </c>
      <c r="I4" s="6"/>
      <c r="J4" s="6"/>
      <c r="K4" s="4" t="s">
        <v>584</v>
      </c>
      <c r="L4" s="4" t="s">
        <v>585</v>
      </c>
      <c r="M4" s="4" t="s">
        <v>31</v>
      </c>
      <c r="N4" s="4" t="s">
        <v>586</v>
      </c>
    </row>
    <row r="5">
      <c r="A5" s="4" t="s">
        <v>224</v>
      </c>
      <c r="B5" s="4" t="s">
        <v>587</v>
      </c>
      <c r="C5" s="4" t="s">
        <v>185</v>
      </c>
      <c r="D5" s="4">
        <v>2021.0</v>
      </c>
      <c r="E5" s="4" t="s">
        <v>588</v>
      </c>
      <c r="F5" s="4" t="s">
        <v>31</v>
      </c>
      <c r="G5" s="4" t="s">
        <v>66</v>
      </c>
      <c r="H5" s="4" t="s">
        <v>66</v>
      </c>
      <c r="I5" s="6"/>
      <c r="J5" s="6"/>
      <c r="K5" s="4" t="s">
        <v>589</v>
      </c>
      <c r="L5" s="4" t="s">
        <v>590</v>
      </c>
      <c r="M5" s="4" t="s">
        <v>31</v>
      </c>
      <c r="N5" s="4" t="s">
        <v>591</v>
      </c>
    </row>
    <row r="6">
      <c r="A6" s="4" t="s">
        <v>180</v>
      </c>
      <c r="B6" s="4" t="s">
        <v>149</v>
      </c>
      <c r="C6" s="4" t="s">
        <v>150</v>
      </c>
      <c r="D6" s="6"/>
      <c r="E6" s="4" t="s">
        <v>583</v>
      </c>
      <c r="F6" s="4" t="s">
        <v>31</v>
      </c>
      <c r="G6" s="4" t="s">
        <v>66</v>
      </c>
      <c r="H6" s="4" t="s">
        <v>66</v>
      </c>
      <c r="I6" s="6"/>
      <c r="J6" s="6"/>
      <c r="K6" s="4" t="s">
        <v>592</v>
      </c>
      <c r="L6" s="4" t="s">
        <v>593</v>
      </c>
      <c r="M6" s="4" t="s">
        <v>31</v>
      </c>
      <c r="N6" s="4" t="s">
        <v>594</v>
      </c>
    </row>
    <row r="7">
      <c r="A7" s="4" t="s">
        <v>276</v>
      </c>
      <c r="B7" s="4" t="s">
        <v>595</v>
      </c>
      <c r="C7" s="4" t="s">
        <v>596</v>
      </c>
      <c r="D7" s="6"/>
      <c r="E7" s="4" t="s">
        <v>597</v>
      </c>
      <c r="F7" s="4" t="s">
        <v>31</v>
      </c>
      <c r="G7" s="4" t="s">
        <v>66</v>
      </c>
      <c r="H7" s="4" t="s">
        <v>66</v>
      </c>
      <c r="I7" s="6"/>
      <c r="J7" s="6"/>
      <c r="K7" s="4" t="s">
        <v>598</v>
      </c>
      <c r="L7" s="4" t="s">
        <v>599</v>
      </c>
      <c r="M7" s="4" t="s">
        <v>31</v>
      </c>
      <c r="N7" s="6"/>
    </row>
    <row r="8">
      <c r="A8" s="4" t="s">
        <v>600</v>
      </c>
      <c r="B8" s="4" t="s">
        <v>601</v>
      </c>
      <c r="C8" s="4" t="s">
        <v>602</v>
      </c>
      <c r="D8" s="6"/>
      <c r="E8" s="4" t="s">
        <v>603</v>
      </c>
      <c r="F8" s="4" t="s">
        <v>31</v>
      </c>
      <c r="G8" s="4" t="s">
        <v>66</v>
      </c>
      <c r="H8" s="4" t="s">
        <v>66</v>
      </c>
      <c r="I8" s="6"/>
      <c r="J8" s="6"/>
      <c r="K8" s="4" t="s">
        <v>604</v>
      </c>
      <c r="L8" s="4" t="s">
        <v>605</v>
      </c>
      <c r="M8" s="4" t="s">
        <v>31</v>
      </c>
      <c r="N8" s="4" t="s">
        <v>606</v>
      </c>
    </row>
    <row r="9">
      <c r="A9" s="4" t="s">
        <v>607</v>
      </c>
      <c r="B9" s="4" t="s">
        <v>608</v>
      </c>
      <c r="C9" s="4" t="s">
        <v>609</v>
      </c>
      <c r="D9" s="4">
        <v>2008.0</v>
      </c>
      <c r="E9" s="4" t="s">
        <v>610</v>
      </c>
      <c r="F9" s="4" t="s">
        <v>66</v>
      </c>
      <c r="G9" s="4" t="s">
        <v>31</v>
      </c>
      <c r="H9" s="4" t="s">
        <v>66</v>
      </c>
      <c r="I9" s="6"/>
      <c r="J9" s="6"/>
      <c r="K9" s="4" t="s">
        <v>611</v>
      </c>
      <c r="L9" s="4" t="s">
        <v>77</v>
      </c>
      <c r="M9" s="4" t="s">
        <v>31</v>
      </c>
      <c r="N9" s="4" t="s">
        <v>612</v>
      </c>
    </row>
    <row r="10">
      <c r="A10" s="4" t="s">
        <v>613</v>
      </c>
      <c r="B10" s="4" t="s">
        <v>614</v>
      </c>
      <c r="C10" s="4" t="s">
        <v>615</v>
      </c>
      <c r="D10" s="4">
        <v>2007.0</v>
      </c>
      <c r="E10" s="4" t="s">
        <v>616</v>
      </c>
      <c r="F10" s="4" t="s">
        <v>31</v>
      </c>
      <c r="G10" s="4" t="s">
        <v>66</v>
      </c>
      <c r="H10" s="4" t="s">
        <v>66</v>
      </c>
      <c r="I10" s="6"/>
      <c r="J10" s="6"/>
      <c r="K10" s="4" t="s">
        <v>617</v>
      </c>
      <c r="L10" s="4" t="s">
        <v>618</v>
      </c>
      <c r="M10" s="4" t="s">
        <v>31</v>
      </c>
      <c r="N10" s="4" t="s">
        <v>619</v>
      </c>
    </row>
    <row r="11">
      <c r="A11" s="4" t="s">
        <v>240</v>
      </c>
      <c r="B11" s="4" t="s">
        <v>620</v>
      </c>
      <c r="C11" s="4" t="s">
        <v>235</v>
      </c>
      <c r="D11" s="6"/>
      <c r="E11" s="4" t="s">
        <v>583</v>
      </c>
      <c r="F11" s="4" t="s">
        <v>31</v>
      </c>
      <c r="G11" s="4" t="s">
        <v>66</v>
      </c>
      <c r="H11" s="4" t="s">
        <v>66</v>
      </c>
      <c r="I11" s="6"/>
      <c r="J11" s="6"/>
      <c r="K11" s="4" t="s">
        <v>621</v>
      </c>
      <c r="L11" s="4" t="s">
        <v>585</v>
      </c>
      <c r="M11" s="4" t="s">
        <v>31</v>
      </c>
      <c r="N11" s="6"/>
    </row>
    <row r="12">
      <c r="A12" s="4" t="s">
        <v>248</v>
      </c>
      <c r="B12" s="4" t="s">
        <v>622</v>
      </c>
      <c r="C12" s="4" t="s">
        <v>243</v>
      </c>
      <c r="D12" s="6"/>
      <c r="E12" s="4" t="s">
        <v>583</v>
      </c>
      <c r="F12" s="4" t="s">
        <v>31</v>
      </c>
      <c r="G12" s="4" t="s">
        <v>66</v>
      </c>
      <c r="H12" s="4" t="s">
        <v>66</v>
      </c>
      <c r="I12" s="6"/>
      <c r="J12" s="6"/>
      <c r="K12" s="4" t="s">
        <v>623</v>
      </c>
      <c r="L12" s="4" t="s">
        <v>585</v>
      </c>
      <c r="M12" s="4" t="s">
        <v>31</v>
      </c>
      <c r="N12" s="4" t="s">
        <v>624</v>
      </c>
    </row>
    <row r="13">
      <c r="A13" s="4" t="s">
        <v>258</v>
      </c>
      <c r="B13" s="4" t="s">
        <v>625</v>
      </c>
      <c r="C13" s="4" t="s">
        <v>251</v>
      </c>
      <c r="D13" s="6"/>
      <c r="E13" s="4" t="s">
        <v>626</v>
      </c>
      <c r="F13" s="4" t="s">
        <v>135</v>
      </c>
      <c r="G13" s="4" t="s">
        <v>66</v>
      </c>
      <c r="H13" s="4" t="s">
        <v>135</v>
      </c>
      <c r="I13" s="6"/>
      <c r="J13" s="6"/>
      <c r="K13" s="4" t="s">
        <v>627</v>
      </c>
      <c r="L13" s="4" t="s">
        <v>585</v>
      </c>
      <c r="M13" s="4" t="s">
        <v>628</v>
      </c>
      <c r="N13" s="4" t="s">
        <v>629</v>
      </c>
    </row>
    <row r="14">
      <c r="A14" s="4" t="s">
        <v>267</v>
      </c>
      <c r="B14" s="4" t="s">
        <v>630</v>
      </c>
      <c r="C14" s="4" t="s">
        <v>262</v>
      </c>
      <c r="D14" s="6"/>
      <c r="E14" s="4" t="s">
        <v>583</v>
      </c>
      <c r="F14" s="4" t="s">
        <v>31</v>
      </c>
      <c r="G14" s="4" t="s">
        <v>66</v>
      </c>
      <c r="H14" s="4" t="s">
        <v>66</v>
      </c>
      <c r="I14" s="6"/>
      <c r="J14" s="6"/>
      <c r="K14" s="4" t="s">
        <v>631</v>
      </c>
      <c r="L14" s="4" t="s">
        <v>585</v>
      </c>
      <c r="M14" s="4" t="s">
        <v>31</v>
      </c>
      <c r="N14" s="6"/>
    </row>
  </sheetData>
  <autoFilter ref="$A$1:$N$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6.75"/>
    <col customWidth="1" min="3" max="6" width="27.63"/>
    <col customWidth="1" min="7" max="7" width="12.0"/>
    <col customWidth="1" min="8" max="9" width="27.63"/>
  </cols>
  <sheetData>
    <row r="1">
      <c r="A1" s="1" t="s">
        <v>632</v>
      </c>
      <c r="B1" s="1" t="s">
        <v>633</v>
      </c>
      <c r="C1" s="1" t="s">
        <v>634</v>
      </c>
      <c r="D1" s="1" t="s">
        <v>635</v>
      </c>
      <c r="E1" s="1" t="s">
        <v>636</v>
      </c>
      <c r="F1" s="1" t="s">
        <v>429</v>
      </c>
      <c r="G1" s="1" t="s">
        <v>19</v>
      </c>
      <c r="H1" s="1" t="s">
        <v>431</v>
      </c>
      <c r="I1" s="1" t="s">
        <v>18</v>
      </c>
    </row>
    <row r="2">
      <c r="A2" s="4" t="s">
        <v>637</v>
      </c>
      <c r="B2" s="6"/>
      <c r="C2" s="4" t="s">
        <v>638</v>
      </c>
      <c r="D2" s="4" t="s">
        <v>639</v>
      </c>
      <c r="E2" s="4" t="s">
        <v>640</v>
      </c>
      <c r="F2" s="4" t="s">
        <v>513</v>
      </c>
      <c r="G2" s="4" t="s">
        <v>641</v>
      </c>
      <c r="H2" s="4" t="s">
        <v>35</v>
      </c>
      <c r="I2" s="4" t="s">
        <v>642</v>
      </c>
    </row>
    <row r="3">
      <c r="A3" s="4" t="s">
        <v>643</v>
      </c>
      <c r="B3" s="6"/>
      <c r="C3" s="4" t="s">
        <v>644</v>
      </c>
      <c r="D3" s="4" t="s">
        <v>645</v>
      </c>
      <c r="E3" s="4" t="s">
        <v>646</v>
      </c>
      <c r="F3" s="4" t="s">
        <v>647</v>
      </c>
      <c r="G3" s="4" t="s">
        <v>641</v>
      </c>
      <c r="H3" s="4" t="s">
        <v>35</v>
      </c>
      <c r="I3" s="4" t="s">
        <v>648</v>
      </c>
    </row>
    <row r="4">
      <c r="A4" s="4" t="s">
        <v>649</v>
      </c>
      <c r="B4" s="6"/>
      <c r="C4" s="4" t="s">
        <v>407</v>
      </c>
      <c r="D4" s="4" t="s">
        <v>650</v>
      </c>
      <c r="E4" s="4" t="s">
        <v>651</v>
      </c>
      <c r="F4" s="4" t="s">
        <v>652</v>
      </c>
      <c r="G4" s="4" t="s">
        <v>641</v>
      </c>
      <c r="H4" s="4" t="s">
        <v>35</v>
      </c>
      <c r="I4" s="4" t="s">
        <v>653</v>
      </c>
    </row>
    <row r="5">
      <c r="A5" s="4" t="s">
        <v>654</v>
      </c>
      <c r="B5" s="6"/>
      <c r="C5" s="4" t="s">
        <v>655</v>
      </c>
      <c r="D5" s="4" t="s">
        <v>656</v>
      </c>
      <c r="E5" s="4" t="s">
        <v>657</v>
      </c>
      <c r="F5" s="4" t="s">
        <v>658</v>
      </c>
      <c r="G5" s="4" t="s">
        <v>641</v>
      </c>
      <c r="H5" s="4" t="s">
        <v>35</v>
      </c>
      <c r="I5" s="4" t="s">
        <v>653</v>
      </c>
    </row>
    <row r="6">
      <c r="A6" s="4" t="s">
        <v>659</v>
      </c>
      <c r="B6" s="6"/>
      <c r="C6" s="4" t="s">
        <v>660</v>
      </c>
      <c r="D6" s="4" t="s">
        <v>661</v>
      </c>
      <c r="E6" s="4" t="s">
        <v>662</v>
      </c>
      <c r="F6" s="4" t="s">
        <v>663</v>
      </c>
      <c r="G6" s="4" t="s">
        <v>641</v>
      </c>
      <c r="H6" s="4" t="s">
        <v>35</v>
      </c>
      <c r="I6" s="4" t="s">
        <v>663</v>
      </c>
    </row>
    <row r="7">
      <c r="A7" s="4" t="s">
        <v>664</v>
      </c>
      <c r="B7" s="6"/>
      <c r="C7" s="4" t="s">
        <v>665</v>
      </c>
      <c r="D7" s="4" t="s">
        <v>666</v>
      </c>
      <c r="E7" s="4" t="s">
        <v>667</v>
      </c>
      <c r="F7" s="4" t="s">
        <v>668</v>
      </c>
      <c r="G7" s="4" t="s">
        <v>641</v>
      </c>
      <c r="H7" s="4" t="s">
        <v>68</v>
      </c>
      <c r="I7" s="4" t="s">
        <v>669</v>
      </c>
    </row>
    <row r="8">
      <c r="A8" s="4" t="s">
        <v>670</v>
      </c>
      <c r="B8" s="6"/>
      <c r="C8" s="4" t="s">
        <v>671</v>
      </c>
      <c r="D8" s="4" t="s">
        <v>672</v>
      </c>
      <c r="E8" s="4" t="s">
        <v>673</v>
      </c>
      <c r="F8" s="4" t="s">
        <v>493</v>
      </c>
      <c r="G8" s="4" t="s">
        <v>641</v>
      </c>
      <c r="H8" s="4" t="s">
        <v>35</v>
      </c>
      <c r="I8" s="4" t="s">
        <v>674</v>
      </c>
    </row>
    <row r="9">
      <c r="A9" s="4" t="s">
        <v>675</v>
      </c>
      <c r="B9" s="6"/>
      <c r="C9" s="4" t="s">
        <v>676</v>
      </c>
      <c r="D9" s="4" t="s">
        <v>677</v>
      </c>
      <c r="E9" s="4" t="s">
        <v>678</v>
      </c>
      <c r="F9" s="4" t="s">
        <v>36</v>
      </c>
      <c r="G9" s="4" t="s">
        <v>679</v>
      </c>
      <c r="H9" s="4" t="s">
        <v>35</v>
      </c>
      <c r="I9" s="4" t="s">
        <v>36</v>
      </c>
    </row>
  </sheetData>
  <autoFilter ref="$A$1:$I$9"/>
  <drawing r:id="rId1"/>
</worksheet>
</file>